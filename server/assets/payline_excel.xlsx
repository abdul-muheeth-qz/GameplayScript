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ghtnwonderind-my.sharepoint.com/personal/broshini_lnw_com/Documents/Desktop/"/>
    </mc:Choice>
  </mc:AlternateContent>
  <xr:revisionPtr revIDLastSave="0" documentId="8_{9D7CD6E2-36BF-41FD-B960-BFE61FFA4D32}" xr6:coauthVersionLast="47" xr6:coauthVersionMax="47" xr10:uidLastSave="{00000000-0000-0000-0000-000000000000}"/>
  <bookViews>
    <workbookView xWindow="-110" yWindow="-110" windowWidth="19420" windowHeight="11500" xr2:uid="{CDDC0CC3-93FC-48FD-9782-D95DE44AE797}"/>
  </bookViews>
  <sheets>
    <sheet name="Sheet2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3" i="2" l="1" a="1"/>
  <c r="F203" i="2" s="1"/>
  <c r="E203" i="2" a="1"/>
  <c r="E203" i="2" s="1"/>
  <c r="D203" i="2" a="1"/>
  <c r="D203" i="2" s="1"/>
  <c r="C203" i="2" a="1"/>
  <c r="C203" i="2" s="1"/>
  <c r="B203" i="2" a="1"/>
  <c r="B203" i="2" s="1"/>
  <c r="F202" i="2" a="1"/>
  <c r="F202" i="2" s="1"/>
  <c r="E202" i="2" a="1"/>
  <c r="E202" i="2" s="1"/>
  <c r="D202" i="2" a="1"/>
  <c r="D202" i="2" s="1"/>
  <c r="C202" i="2" a="1"/>
  <c r="C202" i="2" s="1"/>
  <c r="B202" i="2" a="1"/>
  <c r="B202" i="2" s="1"/>
  <c r="F201" i="2" a="1"/>
  <c r="F201" i="2" s="1"/>
  <c r="E201" i="2" a="1"/>
  <c r="E201" i="2" s="1"/>
  <c r="D201" i="2" a="1"/>
  <c r="D201" i="2" s="1"/>
  <c r="C201" i="2" a="1"/>
  <c r="C201" i="2" s="1"/>
  <c r="B201" i="2" a="1"/>
  <c r="B201" i="2" s="1"/>
  <c r="F200" i="2" a="1"/>
  <c r="F200" i="2" s="1"/>
  <c r="E200" i="2" a="1"/>
  <c r="E200" i="2" s="1"/>
  <c r="D200" i="2" a="1"/>
  <c r="D200" i="2" s="1"/>
  <c r="C200" i="2" a="1"/>
  <c r="C200" i="2" s="1"/>
  <c r="B200" i="2" a="1"/>
  <c r="B200" i="2" s="1"/>
  <c r="F199" i="2" a="1"/>
  <c r="F199" i="2" s="1"/>
  <c r="E199" i="2" a="1"/>
  <c r="E199" i="2" s="1"/>
  <c r="D199" i="2" a="1"/>
  <c r="D199" i="2" s="1"/>
  <c r="C199" i="2" a="1"/>
  <c r="C199" i="2" s="1"/>
  <c r="B199" i="2" a="1"/>
  <c r="B199" i="2" s="1"/>
  <c r="F198" i="2" a="1"/>
  <c r="F198" i="2" s="1"/>
  <c r="E198" i="2" a="1"/>
  <c r="E198" i="2" s="1"/>
  <c r="D198" i="2" a="1"/>
  <c r="D198" i="2" s="1"/>
  <c r="C198" i="2" a="1"/>
  <c r="C198" i="2" s="1"/>
  <c r="B198" i="2" a="1"/>
  <c r="B198" i="2" s="1"/>
  <c r="F197" i="2" a="1"/>
  <c r="F197" i="2" s="1"/>
  <c r="E197" i="2" a="1"/>
  <c r="E197" i="2" s="1"/>
  <c r="D197" i="2" a="1"/>
  <c r="D197" i="2" s="1"/>
  <c r="C197" i="2" a="1"/>
  <c r="C197" i="2" s="1"/>
  <c r="B197" i="2" a="1"/>
  <c r="B197" i="2" s="1"/>
  <c r="F196" i="2" a="1"/>
  <c r="F196" i="2" s="1"/>
  <c r="E196" i="2" a="1"/>
  <c r="E196" i="2" s="1"/>
  <c r="D196" i="2" a="1"/>
  <c r="D196" i="2" s="1"/>
  <c r="C196" i="2" a="1"/>
  <c r="C196" i="2" s="1"/>
  <c r="B196" i="2" a="1"/>
  <c r="B196" i="2" s="1"/>
  <c r="F195" i="2" a="1"/>
  <c r="F195" i="2" s="1"/>
  <c r="E195" i="2" a="1"/>
  <c r="E195" i="2" s="1"/>
  <c r="D195" i="2" a="1"/>
  <c r="D195" i="2" s="1"/>
  <c r="C195" i="2" a="1"/>
  <c r="C195" i="2" s="1"/>
  <c r="B195" i="2" a="1"/>
  <c r="B195" i="2" s="1"/>
  <c r="F194" i="2" a="1"/>
  <c r="F194" i="2" s="1"/>
  <c r="E194" i="2" a="1"/>
  <c r="E194" i="2" s="1"/>
  <c r="D194" i="2" a="1"/>
  <c r="D194" i="2" s="1"/>
  <c r="C194" i="2" a="1"/>
  <c r="C194" i="2" s="1"/>
  <c r="B194" i="2" a="1"/>
  <c r="B194" i="2" s="1"/>
  <c r="F193" i="2" a="1"/>
  <c r="F193" i="2" s="1"/>
  <c r="E193" i="2" a="1"/>
  <c r="E193" i="2" s="1"/>
  <c r="D193" i="2" a="1"/>
  <c r="D193" i="2" s="1"/>
  <c r="C193" i="2" a="1"/>
  <c r="C193" i="2" s="1"/>
  <c r="B193" i="2" a="1"/>
  <c r="B193" i="2" s="1"/>
  <c r="F192" i="2" a="1"/>
  <c r="F192" i="2" s="1"/>
  <c r="E192" i="2" a="1"/>
  <c r="E192" i="2" s="1"/>
  <c r="D192" i="2" a="1"/>
  <c r="D192" i="2" s="1"/>
  <c r="C192" i="2" a="1"/>
  <c r="C192" i="2" s="1"/>
  <c r="B192" i="2" a="1"/>
  <c r="B192" i="2" s="1"/>
  <c r="F191" i="2" a="1"/>
  <c r="F191" i="2" s="1"/>
  <c r="E191" i="2" a="1"/>
  <c r="E191" i="2" s="1"/>
  <c r="D191" i="2" a="1"/>
  <c r="D191" i="2" s="1"/>
  <c r="C191" i="2"/>
  <c r="C191" i="2" a="1"/>
  <c r="B191" i="2" a="1"/>
  <c r="B191" i="2" s="1"/>
  <c r="F190" i="2" a="1"/>
  <c r="F190" i="2" s="1"/>
  <c r="E190" i="2" a="1"/>
  <c r="E190" i="2" s="1"/>
  <c r="D190" i="2" a="1"/>
  <c r="D190" i="2" s="1"/>
  <c r="C190" i="2" a="1"/>
  <c r="C190" i="2" s="1"/>
  <c r="B190" i="2" a="1"/>
  <c r="B190" i="2" s="1"/>
  <c r="F189" i="2" a="1"/>
  <c r="F189" i="2" s="1"/>
  <c r="E189" i="2" a="1"/>
  <c r="E189" i="2" s="1"/>
  <c r="D189" i="2" a="1"/>
  <c r="D189" i="2" s="1"/>
  <c r="C189" i="2" a="1"/>
  <c r="C189" i="2" s="1"/>
  <c r="B189" i="2" a="1"/>
  <c r="B189" i="2" s="1"/>
  <c r="F188" i="2" a="1"/>
  <c r="F188" i="2" s="1"/>
  <c r="E188" i="2" a="1"/>
  <c r="E188" i="2" s="1"/>
  <c r="D188" i="2" a="1"/>
  <c r="D188" i="2" s="1"/>
  <c r="C188" i="2" a="1"/>
  <c r="C188" i="2" s="1"/>
  <c r="B188" i="2" a="1"/>
  <c r="B188" i="2" s="1"/>
  <c r="F187" i="2" a="1"/>
  <c r="F187" i="2" s="1"/>
  <c r="E187" i="2" a="1"/>
  <c r="E187" i="2" s="1"/>
  <c r="D187" i="2" a="1"/>
  <c r="D187" i="2" s="1"/>
  <c r="C187" i="2" a="1"/>
  <c r="C187" i="2" s="1"/>
  <c r="B187" i="2" a="1"/>
  <c r="B187" i="2" s="1"/>
  <c r="F186" i="2" a="1"/>
  <c r="F186" i="2" s="1"/>
  <c r="E186" i="2" a="1"/>
  <c r="E186" i="2" s="1"/>
  <c r="D186" i="2" a="1"/>
  <c r="D186" i="2" s="1"/>
  <c r="C186" i="2" a="1"/>
  <c r="C186" i="2" s="1"/>
  <c r="B186" i="2" a="1"/>
  <c r="B186" i="2" s="1"/>
  <c r="F185" i="2" a="1"/>
  <c r="F185" i="2" s="1"/>
  <c r="E185" i="2" a="1"/>
  <c r="E185" i="2" s="1"/>
  <c r="D185" i="2" a="1"/>
  <c r="D185" i="2" s="1"/>
  <c r="C185" i="2" a="1"/>
  <c r="C185" i="2" s="1"/>
  <c r="B185" i="2" a="1"/>
  <c r="B185" i="2" s="1"/>
  <c r="F184" i="2" a="1"/>
  <c r="F184" i="2" s="1"/>
  <c r="E184" i="2" a="1"/>
  <c r="E184" i="2" s="1"/>
  <c r="D184" i="2" a="1"/>
  <c r="D184" i="2" s="1"/>
  <c r="C184" i="2" a="1"/>
  <c r="C184" i="2" s="1"/>
  <c r="B184" i="2" a="1"/>
  <c r="B184" i="2" s="1"/>
  <c r="F183" i="2" a="1"/>
  <c r="F183" i="2" s="1"/>
  <c r="E183" i="2" a="1"/>
  <c r="E183" i="2" s="1"/>
  <c r="D183" i="2" a="1"/>
  <c r="D183" i="2" s="1"/>
  <c r="C183" i="2" a="1"/>
  <c r="C183" i="2" s="1"/>
  <c r="B183" i="2" a="1"/>
  <c r="B183" i="2" s="1"/>
  <c r="F182" i="2" a="1"/>
  <c r="F182" i="2" s="1"/>
  <c r="E182" i="2" a="1"/>
  <c r="E182" i="2" s="1"/>
  <c r="D182" i="2" a="1"/>
  <c r="D182" i="2" s="1"/>
  <c r="C182" i="2" a="1"/>
  <c r="C182" i="2" s="1"/>
  <c r="B182" i="2" a="1"/>
  <c r="B182" i="2" s="1"/>
  <c r="F181" i="2" a="1"/>
  <c r="F181" i="2" s="1"/>
  <c r="E181" i="2" a="1"/>
  <c r="E181" i="2" s="1"/>
  <c r="D181" i="2" a="1"/>
  <c r="D181" i="2" s="1"/>
  <c r="C181" i="2" a="1"/>
  <c r="C181" i="2" s="1"/>
  <c r="B181" i="2" a="1"/>
  <c r="B181" i="2" s="1"/>
  <c r="F180" i="2" a="1"/>
  <c r="F180" i="2" s="1"/>
  <c r="E180" i="2" a="1"/>
  <c r="E180" i="2" s="1"/>
  <c r="D180" i="2" a="1"/>
  <c r="D180" i="2" s="1"/>
  <c r="C180" i="2" a="1"/>
  <c r="C180" i="2" s="1"/>
  <c r="B180" i="2" a="1"/>
  <c r="B180" i="2" s="1"/>
  <c r="F179" i="2" a="1"/>
  <c r="F179" i="2" s="1"/>
  <c r="E179" i="2" a="1"/>
  <c r="E179" i="2" s="1"/>
  <c r="D179" i="2" a="1"/>
  <c r="D179" i="2" s="1"/>
  <c r="C179" i="2" a="1"/>
  <c r="C179" i="2" s="1"/>
  <c r="B179" i="2" a="1"/>
  <c r="B179" i="2" s="1"/>
  <c r="F178" i="2" a="1"/>
  <c r="F178" i="2" s="1"/>
  <c r="E178" i="2" a="1"/>
  <c r="E178" i="2" s="1"/>
  <c r="D178" i="2" a="1"/>
  <c r="D178" i="2" s="1"/>
  <c r="C178" i="2" a="1"/>
  <c r="C178" i="2" s="1"/>
  <c r="B178" i="2" a="1"/>
  <c r="B178" i="2" s="1"/>
  <c r="F177" i="2" a="1"/>
  <c r="F177" i="2" s="1"/>
  <c r="E177" i="2" a="1"/>
  <c r="E177" i="2" s="1"/>
  <c r="D177" i="2" a="1"/>
  <c r="D177" i="2" s="1"/>
  <c r="C177" i="2" a="1"/>
  <c r="C177" i="2" s="1"/>
  <c r="B177" i="2" a="1"/>
  <c r="B177" i="2" s="1"/>
  <c r="F176" i="2" a="1"/>
  <c r="F176" i="2" s="1"/>
  <c r="E176" i="2" a="1"/>
  <c r="E176" i="2" s="1"/>
  <c r="D176" i="2" a="1"/>
  <c r="D176" i="2" s="1"/>
  <c r="C176" i="2" a="1"/>
  <c r="C176" i="2" s="1"/>
  <c r="B176" i="2" a="1"/>
  <c r="B176" i="2" s="1"/>
  <c r="F175" i="2" a="1"/>
  <c r="F175" i="2" s="1"/>
  <c r="E175" i="2" a="1"/>
  <c r="E175" i="2" s="1"/>
  <c r="D175" i="2" a="1"/>
  <c r="D175" i="2" s="1"/>
  <c r="C175" i="2" a="1"/>
  <c r="C175" i="2" s="1"/>
  <c r="B175" i="2" a="1"/>
  <c r="B175" i="2" s="1"/>
  <c r="F174" i="2" a="1"/>
  <c r="F174" i="2" s="1"/>
  <c r="E174" i="2" a="1"/>
  <c r="E174" i="2" s="1"/>
  <c r="D174" i="2" a="1"/>
  <c r="D174" i="2" s="1"/>
  <c r="C174" i="2" a="1"/>
  <c r="C174" i="2" s="1"/>
  <c r="B174" i="2" a="1"/>
  <c r="B174" i="2" s="1"/>
  <c r="F173" i="2" a="1"/>
  <c r="F173" i="2" s="1"/>
  <c r="E173" i="2" a="1"/>
  <c r="E173" i="2" s="1"/>
  <c r="D173" i="2" a="1"/>
  <c r="D173" i="2" s="1"/>
  <c r="C173" i="2" a="1"/>
  <c r="C173" i="2" s="1"/>
  <c r="B173" i="2" a="1"/>
  <c r="B173" i="2" s="1"/>
  <c r="F172" i="2" a="1"/>
  <c r="F172" i="2" s="1"/>
  <c r="E172" i="2" a="1"/>
  <c r="E172" i="2" s="1"/>
  <c r="D172" i="2" a="1"/>
  <c r="D172" i="2" s="1"/>
  <c r="C172" i="2" a="1"/>
  <c r="C172" i="2" s="1"/>
  <c r="B172" i="2" a="1"/>
  <c r="B172" i="2" s="1"/>
  <c r="F171" i="2" a="1"/>
  <c r="F171" i="2" s="1"/>
  <c r="E171" i="2" a="1"/>
  <c r="E171" i="2" s="1"/>
  <c r="D171" i="2" a="1"/>
  <c r="D171" i="2" s="1"/>
  <c r="C171" i="2" a="1"/>
  <c r="C171" i="2" s="1"/>
  <c r="B171" i="2" a="1"/>
  <c r="B171" i="2" s="1"/>
  <c r="F170" i="2" a="1"/>
  <c r="F170" i="2" s="1"/>
  <c r="E170" i="2" a="1"/>
  <c r="E170" i="2" s="1"/>
  <c r="D170" i="2" a="1"/>
  <c r="D170" i="2" s="1"/>
  <c r="C170" i="2" a="1"/>
  <c r="C170" i="2" s="1"/>
  <c r="B170" i="2" a="1"/>
  <c r="B170" i="2" s="1"/>
  <c r="F169" i="2" a="1"/>
  <c r="F169" i="2" s="1"/>
  <c r="E169" i="2" a="1"/>
  <c r="E169" i="2" s="1"/>
  <c r="D169" i="2" a="1"/>
  <c r="D169" i="2" s="1"/>
  <c r="C169" i="2" a="1"/>
  <c r="C169" i="2" s="1"/>
  <c r="B169" i="2" a="1"/>
  <c r="B169" i="2" s="1"/>
  <c r="F168" i="2" a="1"/>
  <c r="F168" i="2" s="1"/>
  <c r="E168" i="2" a="1"/>
  <c r="E168" i="2" s="1"/>
  <c r="D168" i="2" a="1"/>
  <c r="D168" i="2" s="1"/>
  <c r="C168" i="2" a="1"/>
  <c r="C168" i="2" s="1"/>
  <c r="B168" i="2" a="1"/>
  <c r="B168" i="2" s="1"/>
  <c r="F167" i="2" a="1"/>
  <c r="F167" i="2" s="1"/>
  <c r="E167" i="2" a="1"/>
  <c r="E167" i="2" s="1"/>
  <c r="D167" i="2" a="1"/>
  <c r="D167" i="2" s="1"/>
  <c r="C167" i="2" a="1"/>
  <c r="C167" i="2" s="1"/>
  <c r="B167" i="2" a="1"/>
  <c r="B167" i="2" s="1"/>
  <c r="F166" i="2" a="1"/>
  <c r="F166" i="2" s="1"/>
  <c r="E166" i="2" a="1"/>
  <c r="E166" i="2" s="1"/>
  <c r="D166" i="2" a="1"/>
  <c r="D166" i="2" s="1"/>
  <c r="C166" i="2" a="1"/>
  <c r="C166" i="2" s="1"/>
  <c r="B166" i="2"/>
  <c r="B166" i="2" a="1"/>
  <c r="F165" i="2" a="1"/>
  <c r="F165" i="2" s="1"/>
  <c r="E165" i="2" a="1"/>
  <c r="E165" i="2" s="1"/>
  <c r="D165" i="2" a="1"/>
  <c r="D165" i="2" s="1"/>
  <c r="C165" i="2" a="1"/>
  <c r="C165" i="2" s="1"/>
  <c r="B165" i="2" a="1"/>
  <c r="B165" i="2" s="1"/>
  <c r="F164" i="2" a="1"/>
  <c r="F164" i="2" s="1"/>
  <c r="E164" i="2" a="1"/>
  <c r="E164" i="2" s="1"/>
  <c r="D164" i="2" a="1"/>
  <c r="D164" i="2" s="1"/>
  <c r="C164" i="2" a="1"/>
  <c r="C164" i="2" s="1"/>
  <c r="B164" i="2" a="1"/>
  <c r="B164" i="2" s="1"/>
  <c r="F163" i="2" a="1"/>
  <c r="F163" i="2" s="1"/>
  <c r="E163" i="2" a="1"/>
  <c r="E163" i="2" s="1"/>
  <c r="D163" i="2" a="1"/>
  <c r="D163" i="2" s="1"/>
  <c r="C163" i="2" a="1"/>
  <c r="C163" i="2" s="1"/>
  <c r="B163" i="2" a="1"/>
  <c r="B163" i="2" s="1"/>
  <c r="F162" i="2" a="1"/>
  <c r="F162" i="2" s="1"/>
  <c r="E162" i="2" a="1"/>
  <c r="E162" i="2" s="1"/>
  <c r="D162" i="2"/>
  <c r="D162" i="2" a="1"/>
  <c r="C162" i="2" a="1"/>
  <c r="C162" i="2" s="1"/>
  <c r="B162" i="2" a="1"/>
  <c r="B162" i="2" s="1"/>
  <c r="F161" i="2" a="1"/>
  <c r="F161" i="2" s="1"/>
  <c r="E161" i="2" a="1"/>
  <c r="E161" i="2" s="1"/>
  <c r="D161" i="2" a="1"/>
  <c r="D161" i="2" s="1"/>
  <c r="C161" i="2" a="1"/>
  <c r="C161" i="2" s="1"/>
  <c r="B161" i="2" a="1"/>
  <c r="B161" i="2" s="1"/>
  <c r="F160" i="2" a="1"/>
  <c r="F160" i="2" s="1"/>
  <c r="E160" i="2" a="1"/>
  <c r="E160" i="2" s="1"/>
  <c r="D160" i="2" a="1"/>
  <c r="D160" i="2" s="1"/>
  <c r="C160" i="2" a="1"/>
  <c r="C160" i="2" s="1"/>
  <c r="B160" i="2" a="1"/>
  <c r="B160" i="2" s="1"/>
  <c r="F159" i="2" a="1"/>
  <c r="F159" i="2" s="1"/>
  <c r="E159" i="2" a="1"/>
  <c r="E159" i="2" s="1"/>
  <c r="D159" i="2" a="1"/>
  <c r="D159" i="2" s="1"/>
  <c r="C159" i="2" a="1"/>
  <c r="C159" i="2" s="1"/>
  <c r="B159" i="2" a="1"/>
  <c r="B159" i="2" s="1"/>
  <c r="F158" i="2" a="1"/>
  <c r="F158" i="2" s="1"/>
  <c r="E158" i="2" a="1"/>
  <c r="E158" i="2" s="1"/>
  <c r="D158" i="2" a="1"/>
  <c r="D158" i="2" s="1"/>
  <c r="C158" i="2" a="1"/>
  <c r="C158" i="2" s="1"/>
  <c r="B158" i="2" a="1"/>
  <c r="B158" i="2" s="1"/>
  <c r="F157" i="2" a="1"/>
  <c r="F157" i="2" s="1"/>
  <c r="E157" i="2" a="1"/>
  <c r="E157" i="2" s="1"/>
  <c r="D157" i="2" a="1"/>
  <c r="D157" i="2" s="1"/>
  <c r="C157" i="2" a="1"/>
  <c r="C157" i="2" s="1"/>
  <c r="B157" i="2" a="1"/>
  <c r="B157" i="2" s="1"/>
  <c r="F156" i="2" a="1"/>
  <c r="F156" i="2" s="1"/>
  <c r="E156" i="2" a="1"/>
  <c r="E156" i="2" s="1"/>
  <c r="D156" i="2" a="1"/>
  <c r="D156" i="2" s="1"/>
  <c r="C156" i="2" a="1"/>
  <c r="C156" i="2" s="1"/>
  <c r="B156" i="2" a="1"/>
  <c r="B156" i="2" s="1"/>
  <c r="F155" i="2" a="1"/>
  <c r="F155" i="2" s="1"/>
  <c r="E155" i="2" a="1"/>
  <c r="E155" i="2" s="1"/>
  <c r="D155" i="2" a="1"/>
  <c r="D155" i="2" s="1"/>
  <c r="C155" i="2" a="1"/>
  <c r="C155" i="2" s="1"/>
  <c r="B155" i="2" a="1"/>
  <c r="B155" i="2" s="1"/>
  <c r="F154" i="2" a="1"/>
  <c r="F154" i="2" s="1"/>
  <c r="E154" i="2" a="1"/>
  <c r="E154" i="2" s="1"/>
  <c r="D154" i="2" a="1"/>
  <c r="D154" i="2" s="1"/>
  <c r="C154" i="2" a="1"/>
  <c r="C154" i="2" s="1"/>
  <c r="B154" i="2" a="1"/>
  <c r="B154" i="2" s="1"/>
  <c r="F153" i="2" a="1"/>
  <c r="F153" i="2" s="1"/>
  <c r="E153" i="2" a="1"/>
  <c r="E153" i="2" s="1"/>
  <c r="D153" i="2" a="1"/>
  <c r="D153" i="2" s="1"/>
  <c r="C153" i="2" a="1"/>
  <c r="C153" i="2" s="1"/>
  <c r="B153" i="2" a="1"/>
  <c r="B153" i="2" s="1"/>
  <c r="F152" i="2" a="1"/>
  <c r="F152" i="2" s="1"/>
  <c r="E152" i="2" a="1"/>
  <c r="E152" i="2" s="1"/>
  <c r="D152" i="2" a="1"/>
  <c r="D152" i="2" s="1"/>
  <c r="C152" i="2" a="1"/>
  <c r="C152" i="2" s="1"/>
  <c r="B152" i="2" a="1"/>
  <c r="B152" i="2" s="1"/>
  <c r="F151" i="2" a="1"/>
  <c r="F151" i="2" s="1"/>
  <c r="E151" i="2" a="1"/>
  <c r="E151" i="2" s="1"/>
  <c r="D151" i="2" a="1"/>
  <c r="D151" i="2" s="1"/>
  <c r="C151" i="2" a="1"/>
  <c r="C151" i="2" s="1"/>
  <c r="B151" i="2" a="1"/>
  <c r="B151" i="2" s="1"/>
  <c r="F150" i="2" a="1"/>
  <c r="F150" i="2" s="1"/>
  <c r="E150" i="2" a="1"/>
  <c r="E150" i="2" s="1"/>
  <c r="D150" i="2" a="1"/>
  <c r="D150" i="2" s="1"/>
  <c r="C150" i="2" a="1"/>
  <c r="C150" i="2" s="1"/>
  <c r="B150" i="2" a="1"/>
  <c r="B150" i="2" s="1"/>
  <c r="F149" i="2" a="1"/>
  <c r="F149" i="2" s="1"/>
  <c r="E149" i="2" a="1"/>
  <c r="E149" i="2" s="1"/>
  <c r="D149" i="2" a="1"/>
  <c r="D149" i="2" s="1"/>
  <c r="C149" i="2" a="1"/>
  <c r="C149" i="2" s="1"/>
  <c r="B149" i="2" a="1"/>
  <c r="B149" i="2" s="1"/>
  <c r="F148" i="2" a="1"/>
  <c r="F148" i="2" s="1"/>
  <c r="E148" i="2" a="1"/>
  <c r="E148" i="2" s="1"/>
  <c r="D148" i="2" a="1"/>
  <c r="D148" i="2" s="1"/>
  <c r="C148" i="2" a="1"/>
  <c r="C148" i="2" s="1"/>
  <c r="B148" i="2" a="1"/>
  <c r="B148" i="2" s="1"/>
  <c r="F147" i="2" a="1"/>
  <c r="F147" i="2" s="1"/>
  <c r="E147" i="2" a="1"/>
  <c r="E147" i="2" s="1"/>
  <c r="D147" i="2" a="1"/>
  <c r="D147" i="2" s="1"/>
  <c r="C147" i="2" a="1"/>
  <c r="C147" i="2" s="1"/>
  <c r="B147" i="2" a="1"/>
  <c r="B147" i="2" s="1"/>
  <c r="F146" i="2" a="1"/>
  <c r="F146" i="2" s="1"/>
  <c r="E146" i="2" a="1"/>
  <c r="E146" i="2" s="1"/>
  <c r="D146" i="2" a="1"/>
  <c r="D146" i="2" s="1"/>
  <c r="C146" i="2" a="1"/>
  <c r="C146" i="2" s="1"/>
  <c r="B146" i="2" a="1"/>
  <c r="B146" i="2" s="1"/>
  <c r="F145" i="2" a="1"/>
  <c r="F145" i="2" s="1"/>
  <c r="E145" i="2" a="1"/>
  <c r="E145" i="2" s="1"/>
  <c r="D145" i="2" a="1"/>
  <c r="D145" i="2" s="1"/>
  <c r="C145" i="2" a="1"/>
  <c r="C145" i="2" s="1"/>
  <c r="B145" i="2" a="1"/>
  <c r="B145" i="2" s="1"/>
  <c r="F144" i="2" a="1"/>
  <c r="F144" i="2" s="1"/>
  <c r="E144" i="2" a="1"/>
  <c r="E144" i="2" s="1"/>
  <c r="D144" i="2" a="1"/>
  <c r="D144" i="2" s="1"/>
  <c r="C144" i="2" a="1"/>
  <c r="C144" i="2" s="1"/>
  <c r="B144" i="2" a="1"/>
  <c r="B144" i="2" s="1"/>
  <c r="F143" i="2" a="1"/>
  <c r="F143" i="2" s="1"/>
  <c r="E143" i="2" a="1"/>
  <c r="E143" i="2" s="1"/>
  <c r="D143" i="2" a="1"/>
  <c r="D143" i="2" s="1"/>
  <c r="C143" i="2" a="1"/>
  <c r="C143" i="2" s="1"/>
  <c r="B143" i="2" a="1"/>
  <c r="B143" i="2" s="1"/>
  <c r="F142" i="2" a="1"/>
  <c r="F142" i="2" s="1"/>
  <c r="E142" i="2" a="1"/>
  <c r="E142" i="2" s="1"/>
  <c r="D142" i="2" a="1"/>
  <c r="D142" i="2" s="1"/>
  <c r="C142" i="2" a="1"/>
  <c r="C142" i="2" s="1"/>
  <c r="B142" i="2" a="1"/>
  <c r="B142" i="2" s="1"/>
  <c r="F141" i="2" a="1"/>
  <c r="F141" i="2" s="1"/>
  <c r="E141" i="2" a="1"/>
  <c r="E141" i="2" s="1"/>
  <c r="D141" i="2" a="1"/>
  <c r="D141" i="2" s="1"/>
  <c r="C141" i="2" a="1"/>
  <c r="C141" i="2" s="1"/>
  <c r="B141" i="2" a="1"/>
  <c r="B141" i="2" s="1"/>
  <c r="F140" i="2" a="1"/>
  <c r="F140" i="2" s="1"/>
  <c r="E140" i="2" a="1"/>
  <c r="E140" i="2" s="1"/>
  <c r="D140" i="2" a="1"/>
  <c r="D140" i="2" s="1"/>
  <c r="C140" i="2" a="1"/>
  <c r="C140" i="2" s="1"/>
  <c r="B140" i="2" a="1"/>
  <c r="B140" i="2" s="1"/>
  <c r="F139" i="2" a="1"/>
  <c r="F139" i="2" s="1"/>
  <c r="E139" i="2" a="1"/>
  <c r="E139" i="2" s="1"/>
  <c r="D139" i="2" a="1"/>
  <c r="D139" i="2" s="1"/>
  <c r="C139" i="2" a="1"/>
  <c r="C139" i="2" s="1"/>
  <c r="B139" i="2" a="1"/>
  <c r="B139" i="2" s="1"/>
  <c r="F138" i="2" a="1"/>
  <c r="F138" i="2" s="1"/>
  <c r="E138" i="2" a="1"/>
  <c r="E138" i="2" s="1"/>
  <c r="D138" i="2" a="1"/>
  <c r="D138" i="2" s="1"/>
  <c r="C138" i="2" a="1"/>
  <c r="C138" i="2" s="1"/>
  <c r="B138" i="2" a="1"/>
  <c r="B138" i="2" s="1"/>
  <c r="F137" i="2" a="1"/>
  <c r="F137" i="2" s="1"/>
  <c r="E137" i="2" a="1"/>
  <c r="E137" i="2" s="1"/>
  <c r="D137" i="2" a="1"/>
  <c r="D137" i="2" s="1"/>
  <c r="C137" i="2" a="1"/>
  <c r="C137" i="2" s="1"/>
  <c r="B137" i="2" a="1"/>
  <c r="B137" i="2" s="1"/>
  <c r="F136" i="2" a="1"/>
  <c r="F136" i="2" s="1"/>
  <c r="E136" i="2" a="1"/>
  <c r="E136" i="2" s="1"/>
  <c r="D136" i="2" a="1"/>
  <c r="D136" i="2" s="1"/>
  <c r="C136" i="2" a="1"/>
  <c r="C136" i="2" s="1"/>
  <c r="B136" i="2" a="1"/>
  <c r="B136" i="2" s="1"/>
  <c r="F135" i="2" a="1"/>
  <c r="F135" i="2" s="1"/>
  <c r="E135" i="2" a="1"/>
  <c r="E135" i="2" s="1"/>
  <c r="D135" i="2" a="1"/>
  <c r="D135" i="2" s="1"/>
  <c r="C135" i="2" a="1"/>
  <c r="C135" i="2" s="1"/>
  <c r="B135" i="2" a="1"/>
  <c r="B135" i="2" s="1"/>
  <c r="F134" i="2" a="1"/>
  <c r="F134" i="2" s="1"/>
  <c r="E134" i="2" a="1"/>
  <c r="E134" i="2" s="1"/>
  <c r="D134" i="2" a="1"/>
  <c r="D134" i="2" s="1"/>
  <c r="C134" i="2" a="1"/>
  <c r="C134" i="2" s="1"/>
  <c r="B134" i="2" a="1"/>
  <c r="B134" i="2" s="1"/>
  <c r="F133" i="2" a="1"/>
  <c r="F133" i="2" s="1"/>
  <c r="E133" i="2" a="1"/>
  <c r="E133" i="2" s="1"/>
  <c r="D133" i="2" a="1"/>
  <c r="D133" i="2" s="1"/>
  <c r="C133" i="2" a="1"/>
  <c r="C133" i="2" s="1"/>
  <c r="B133" i="2" a="1"/>
  <c r="B133" i="2" s="1"/>
  <c r="F132" i="2" a="1"/>
  <c r="F132" i="2" s="1"/>
  <c r="E132" i="2" a="1"/>
  <c r="E132" i="2" s="1"/>
  <c r="D132" i="2" a="1"/>
  <c r="D132" i="2" s="1"/>
  <c r="C132" i="2" a="1"/>
  <c r="C132" i="2" s="1"/>
  <c r="B132" i="2" a="1"/>
  <c r="B132" i="2" s="1"/>
  <c r="F131" i="2" a="1"/>
  <c r="F131" i="2" s="1"/>
  <c r="E131" i="2" a="1"/>
  <c r="E131" i="2" s="1"/>
  <c r="D131" i="2" a="1"/>
  <c r="D131" i="2" s="1"/>
  <c r="C131" i="2" a="1"/>
  <c r="C131" i="2" s="1"/>
  <c r="B131" i="2" a="1"/>
  <c r="B131" i="2" s="1"/>
  <c r="F130" i="2" a="1"/>
  <c r="F130" i="2" s="1"/>
  <c r="E130" i="2" a="1"/>
  <c r="E130" i="2" s="1"/>
  <c r="D130" i="2" a="1"/>
  <c r="D130" i="2" s="1"/>
  <c r="C130" i="2" a="1"/>
  <c r="C130" i="2" s="1"/>
  <c r="B130" i="2" a="1"/>
  <c r="B130" i="2" s="1"/>
  <c r="F129" i="2" a="1"/>
  <c r="F129" i="2" s="1"/>
  <c r="E129" i="2" a="1"/>
  <c r="E129" i="2" s="1"/>
  <c r="D129" i="2" a="1"/>
  <c r="D129" i="2" s="1"/>
  <c r="C129" i="2" a="1"/>
  <c r="C129" i="2" s="1"/>
  <c r="B129" i="2" a="1"/>
  <c r="B129" i="2" s="1"/>
  <c r="F128" i="2" a="1"/>
  <c r="F128" i="2" s="1"/>
  <c r="E128" i="2" a="1"/>
  <c r="E128" i="2" s="1"/>
  <c r="D128" i="2" a="1"/>
  <c r="D128" i="2" s="1"/>
  <c r="C128" i="2" a="1"/>
  <c r="C128" i="2" s="1"/>
  <c r="B128" i="2" a="1"/>
  <c r="B128" i="2" s="1"/>
  <c r="F127" i="2" a="1"/>
  <c r="F127" i="2" s="1"/>
  <c r="E127" i="2" a="1"/>
  <c r="E127" i="2" s="1"/>
  <c r="D127" i="2" a="1"/>
  <c r="D127" i="2" s="1"/>
  <c r="C127" i="2" a="1"/>
  <c r="C127" i="2" s="1"/>
  <c r="B127" i="2" a="1"/>
  <c r="B127" i="2" s="1"/>
  <c r="F126" i="2" a="1"/>
  <c r="F126" i="2" s="1"/>
  <c r="E126" i="2" a="1"/>
  <c r="E126" i="2" s="1"/>
  <c r="D126" i="2" a="1"/>
  <c r="D126" i="2" s="1"/>
  <c r="C126" i="2" a="1"/>
  <c r="C126" i="2" s="1"/>
  <c r="B126" i="2" a="1"/>
  <c r="B126" i="2" s="1"/>
  <c r="F125" i="2" a="1"/>
  <c r="F125" i="2" s="1"/>
  <c r="E125" i="2" a="1"/>
  <c r="E125" i="2" s="1"/>
  <c r="D125" i="2" a="1"/>
  <c r="D125" i="2" s="1"/>
  <c r="C125" i="2" a="1"/>
  <c r="C125" i="2" s="1"/>
  <c r="B125" i="2" a="1"/>
  <c r="B125" i="2" s="1"/>
  <c r="F124" i="2" a="1"/>
  <c r="F124" i="2" s="1"/>
  <c r="E124" i="2" a="1"/>
  <c r="E124" i="2" s="1"/>
  <c r="D124" i="2" a="1"/>
  <c r="D124" i="2" s="1"/>
  <c r="C124" i="2" a="1"/>
  <c r="C124" i="2" s="1"/>
  <c r="B124" i="2" a="1"/>
  <c r="B124" i="2" s="1"/>
  <c r="F123" i="2" a="1"/>
  <c r="F123" i="2" s="1"/>
  <c r="E123" i="2" a="1"/>
  <c r="E123" i="2" s="1"/>
  <c r="D123" i="2" a="1"/>
  <c r="D123" i="2" s="1"/>
  <c r="C123" i="2" a="1"/>
  <c r="C123" i="2" s="1"/>
  <c r="B123" i="2" a="1"/>
  <c r="B123" i="2" s="1"/>
  <c r="F122" i="2" a="1"/>
  <c r="F122" i="2" s="1"/>
  <c r="E122" i="2" a="1"/>
  <c r="E122" i="2" s="1"/>
  <c r="D122" i="2" a="1"/>
  <c r="D122" i="2" s="1"/>
  <c r="C122" i="2" a="1"/>
  <c r="C122" i="2" s="1"/>
  <c r="B122" i="2" a="1"/>
  <c r="B122" i="2" s="1"/>
  <c r="F121" i="2" a="1"/>
  <c r="F121" i="2" s="1"/>
  <c r="E121" i="2" a="1"/>
  <c r="E121" i="2" s="1"/>
  <c r="D121" i="2" a="1"/>
  <c r="D121" i="2" s="1"/>
  <c r="C121" i="2" a="1"/>
  <c r="C121" i="2" s="1"/>
  <c r="B121" i="2" a="1"/>
  <c r="B121" i="2" s="1"/>
  <c r="F120" i="2" a="1"/>
  <c r="F120" i="2" s="1"/>
  <c r="E120" i="2" a="1"/>
  <c r="E120" i="2" s="1"/>
  <c r="D120" i="2" a="1"/>
  <c r="D120" i="2" s="1"/>
  <c r="C120" i="2" a="1"/>
  <c r="C120" i="2" s="1"/>
  <c r="B120" i="2" a="1"/>
  <c r="B120" i="2" s="1"/>
  <c r="F119" i="2" a="1"/>
  <c r="F119" i="2" s="1"/>
  <c r="E119" i="2" a="1"/>
  <c r="E119" i="2" s="1"/>
  <c r="D119" i="2" a="1"/>
  <c r="D119" i="2" s="1"/>
  <c r="C119" i="2" a="1"/>
  <c r="C119" i="2" s="1"/>
  <c r="B119" i="2" a="1"/>
  <c r="B119" i="2" s="1"/>
  <c r="F118" i="2" a="1"/>
  <c r="F118" i="2" s="1"/>
  <c r="E118" i="2" a="1"/>
  <c r="E118" i="2" s="1"/>
  <c r="D118" i="2" a="1"/>
  <c r="D118" i="2" s="1"/>
  <c r="C118" i="2" a="1"/>
  <c r="C118" i="2" s="1"/>
  <c r="B118" i="2" a="1"/>
  <c r="B118" i="2" s="1"/>
  <c r="F117" i="2" a="1"/>
  <c r="F117" i="2" s="1"/>
  <c r="E117" i="2" a="1"/>
  <c r="E117" i="2" s="1"/>
  <c r="D117" i="2" a="1"/>
  <c r="D117" i="2" s="1"/>
  <c r="C117" i="2" a="1"/>
  <c r="C117" i="2" s="1"/>
  <c r="B117" i="2" a="1"/>
  <c r="B117" i="2" s="1"/>
  <c r="F116" i="2" a="1"/>
  <c r="F116" i="2" s="1"/>
  <c r="E116" i="2" a="1"/>
  <c r="E116" i="2" s="1"/>
  <c r="D116" i="2" a="1"/>
  <c r="D116" i="2" s="1"/>
  <c r="C116" i="2" a="1"/>
  <c r="C116" i="2" s="1"/>
  <c r="B116" i="2" a="1"/>
  <c r="B116" i="2" s="1"/>
  <c r="F115" i="2" a="1"/>
  <c r="F115" i="2" s="1"/>
  <c r="E115" i="2" a="1"/>
  <c r="E115" i="2" s="1"/>
  <c r="D115" i="2" a="1"/>
  <c r="D115" i="2" s="1"/>
  <c r="C115" i="2" a="1"/>
  <c r="C115" i="2" s="1"/>
  <c r="B115" i="2" a="1"/>
  <c r="B115" i="2" s="1"/>
  <c r="F114" i="2" a="1"/>
  <c r="F114" i="2" s="1"/>
  <c r="E114" i="2" a="1"/>
  <c r="E114" i="2" s="1"/>
  <c r="D114" i="2" a="1"/>
  <c r="D114" i="2" s="1"/>
  <c r="C114" i="2" a="1"/>
  <c r="C114" i="2" s="1"/>
  <c r="B114" i="2" a="1"/>
  <c r="B114" i="2" s="1"/>
  <c r="F113" i="2" a="1"/>
  <c r="F113" i="2" s="1"/>
  <c r="E113" i="2" a="1"/>
  <c r="E113" i="2" s="1"/>
  <c r="D113" i="2" a="1"/>
  <c r="D113" i="2" s="1"/>
  <c r="C113" i="2" a="1"/>
  <c r="C113" i="2" s="1"/>
  <c r="B113" i="2" a="1"/>
  <c r="B113" i="2" s="1"/>
  <c r="F112" i="2" a="1"/>
  <c r="F112" i="2" s="1"/>
  <c r="E112" i="2" a="1"/>
  <c r="E112" i="2" s="1"/>
  <c r="D112" i="2" a="1"/>
  <c r="D112" i="2" s="1"/>
  <c r="C112" i="2" a="1"/>
  <c r="C112" i="2" s="1"/>
  <c r="B112" i="2" a="1"/>
  <c r="B112" i="2" s="1"/>
  <c r="F111" i="2" a="1"/>
  <c r="F111" i="2" s="1"/>
  <c r="E111" i="2" a="1"/>
  <c r="E111" i="2" s="1"/>
  <c r="D111" i="2" a="1"/>
  <c r="D111" i="2" s="1"/>
  <c r="C111" i="2" a="1"/>
  <c r="C111" i="2" s="1"/>
  <c r="B111" i="2" a="1"/>
  <c r="B111" i="2" s="1"/>
  <c r="F110" i="2" a="1"/>
  <c r="F110" i="2" s="1"/>
  <c r="E110" i="2" a="1"/>
  <c r="E110" i="2" s="1"/>
  <c r="D110" i="2" a="1"/>
  <c r="D110" i="2" s="1"/>
  <c r="C110" i="2" a="1"/>
  <c r="C110" i="2" s="1"/>
  <c r="B110" i="2" a="1"/>
  <c r="B110" i="2" s="1"/>
  <c r="F109" i="2" a="1"/>
  <c r="F109" i="2" s="1"/>
  <c r="E109" i="2" a="1"/>
  <c r="E109" i="2" s="1"/>
  <c r="D109" i="2" a="1"/>
  <c r="D109" i="2" s="1"/>
  <c r="C109" i="2" a="1"/>
  <c r="C109" i="2" s="1"/>
  <c r="B109" i="2" a="1"/>
  <c r="B109" i="2" s="1"/>
  <c r="F108" i="2" a="1"/>
  <c r="F108" i="2" s="1"/>
  <c r="E108" i="2" a="1"/>
  <c r="E108" i="2" s="1"/>
  <c r="D108" i="2" a="1"/>
  <c r="D108" i="2" s="1"/>
  <c r="C108" i="2" a="1"/>
  <c r="C108" i="2" s="1"/>
  <c r="B108" i="2" a="1"/>
  <c r="B108" i="2" s="1"/>
  <c r="F107" i="2" a="1"/>
  <c r="F107" i="2" s="1"/>
  <c r="E107" i="2" a="1"/>
  <c r="E107" i="2" s="1"/>
  <c r="D107" i="2" a="1"/>
  <c r="D107" i="2" s="1"/>
  <c r="C107" i="2" a="1"/>
  <c r="C107" i="2" s="1"/>
  <c r="B107" i="2" a="1"/>
  <c r="B107" i="2" s="1"/>
  <c r="F106" i="2" a="1"/>
  <c r="F106" i="2" s="1"/>
  <c r="E106" i="2" a="1"/>
  <c r="E106" i="2" s="1"/>
  <c r="D106" i="2" a="1"/>
  <c r="D106" i="2" s="1"/>
  <c r="C106" i="2" a="1"/>
  <c r="C106" i="2" s="1"/>
  <c r="B106" i="2" a="1"/>
  <c r="B106" i="2" s="1"/>
  <c r="F105" i="2" a="1"/>
  <c r="F105" i="2" s="1"/>
  <c r="E105" i="2" a="1"/>
  <c r="E105" i="2" s="1"/>
  <c r="D105" i="2" a="1"/>
  <c r="D105" i="2" s="1"/>
  <c r="C105" i="2" a="1"/>
  <c r="C105" i="2" s="1"/>
  <c r="B105" i="2" a="1"/>
  <c r="B105" i="2" s="1"/>
  <c r="F104" i="2" a="1"/>
  <c r="F104" i="2" s="1"/>
  <c r="E104" i="2" a="1"/>
  <c r="E104" i="2" s="1"/>
  <c r="D104" i="2" a="1"/>
  <c r="D104" i="2" s="1"/>
  <c r="C104" i="2" a="1"/>
  <c r="C104" i="2" s="1"/>
  <c r="B104" i="2" a="1"/>
  <c r="B104" i="2" s="1"/>
  <c r="F103" i="2" a="1"/>
  <c r="F103" i="2" s="1"/>
  <c r="E103" i="2" a="1"/>
  <c r="E103" i="2" s="1"/>
  <c r="D103" i="2" a="1"/>
  <c r="D103" i="2" s="1"/>
  <c r="C103" i="2" a="1"/>
  <c r="C103" i="2" s="1"/>
  <c r="B103" i="2" a="1"/>
  <c r="B103" i="2" s="1"/>
  <c r="F102" i="2" a="1"/>
  <c r="F102" i="2" s="1"/>
  <c r="E102" i="2" a="1"/>
  <c r="E102" i="2" s="1"/>
  <c r="D102" i="2" a="1"/>
  <c r="D102" i="2" s="1"/>
  <c r="C102" i="2" a="1"/>
  <c r="C102" i="2" s="1"/>
  <c r="B102" i="2" a="1"/>
  <c r="B102" i="2" s="1"/>
  <c r="F101" i="2" a="1"/>
  <c r="F101" i="2" s="1"/>
  <c r="E101" i="2" a="1"/>
  <c r="E101" i="2" s="1"/>
  <c r="D101" i="2" a="1"/>
  <c r="D101" i="2" s="1"/>
  <c r="C101" i="2" a="1"/>
  <c r="C101" i="2" s="1"/>
  <c r="B101" i="2" a="1"/>
  <c r="B101" i="2" s="1"/>
  <c r="F100" i="2" a="1"/>
  <c r="F100" i="2" s="1"/>
  <c r="E100" i="2" a="1"/>
  <c r="E100" i="2" s="1"/>
  <c r="D100" i="2" a="1"/>
  <c r="D100" i="2" s="1"/>
  <c r="C100" i="2" a="1"/>
  <c r="C100" i="2" s="1"/>
  <c r="B100" i="2" a="1"/>
  <c r="B100" i="2" s="1"/>
  <c r="F99" i="2" a="1"/>
  <c r="F99" i="2" s="1"/>
  <c r="E99" i="2" a="1"/>
  <c r="E99" i="2" s="1"/>
  <c r="D99" i="2" a="1"/>
  <c r="D99" i="2" s="1"/>
  <c r="C99" i="2" a="1"/>
  <c r="C99" i="2" s="1"/>
  <c r="B99" i="2" a="1"/>
  <c r="B99" i="2" s="1"/>
  <c r="F98" i="2" a="1"/>
  <c r="F98" i="2" s="1"/>
  <c r="E98" i="2" a="1"/>
  <c r="E98" i="2" s="1"/>
  <c r="D98" i="2" a="1"/>
  <c r="D98" i="2" s="1"/>
  <c r="C98" i="2" a="1"/>
  <c r="C98" i="2" s="1"/>
  <c r="B98" i="2" a="1"/>
  <c r="B98" i="2" s="1"/>
  <c r="F97" i="2" a="1"/>
  <c r="F97" i="2" s="1"/>
  <c r="E97" i="2" a="1"/>
  <c r="E97" i="2" s="1"/>
  <c r="D97" i="2" a="1"/>
  <c r="D97" i="2" s="1"/>
  <c r="C97" i="2" a="1"/>
  <c r="C97" i="2" s="1"/>
  <c r="B97" i="2" a="1"/>
  <c r="B97" i="2" s="1"/>
  <c r="F96" i="2" a="1"/>
  <c r="F96" i="2" s="1"/>
  <c r="E96" i="2" a="1"/>
  <c r="E96" i="2" s="1"/>
  <c r="D96" i="2" a="1"/>
  <c r="D96" i="2" s="1"/>
  <c r="C96" i="2" a="1"/>
  <c r="C96" i="2" s="1"/>
  <c r="B96" i="2" a="1"/>
  <c r="B96" i="2" s="1"/>
  <c r="F95" i="2" a="1"/>
  <c r="F95" i="2" s="1"/>
  <c r="E95" i="2" a="1"/>
  <c r="E95" i="2" s="1"/>
  <c r="D95" i="2" a="1"/>
  <c r="D95" i="2" s="1"/>
  <c r="C95" i="2" a="1"/>
  <c r="C95" i="2" s="1"/>
  <c r="B95" i="2" a="1"/>
  <c r="B95" i="2" s="1"/>
  <c r="F94" i="2" a="1"/>
  <c r="F94" i="2" s="1"/>
  <c r="E94" i="2" a="1"/>
  <c r="E94" i="2" s="1"/>
  <c r="D94" i="2" a="1"/>
  <c r="D94" i="2" s="1"/>
  <c r="C94" i="2" a="1"/>
  <c r="C94" i="2" s="1"/>
  <c r="B94" i="2" a="1"/>
  <c r="B94" i="2" s="1"/>
  <c r="F93" i="2" a="1"/>
  <c r="F93" i="2" s="1"/>
  <c r="E93" i="2" a="1"/>
  <c r="E93" i="2" s="1"/>
  <c r="D93" i="2" a="1"/>
  <c r="D93" i="2" s="1"/>
  <c r="C93" i="2" a="1"/>
  <c r="C93" i="2" s="1"/>
  <c r="B93" i="2"/>
  <c r="B93" i="2" a="1"/>
  <c r="F92" i="2" a="1"/>
  <c r="F92" i="2" s="1"/>
  <c r="E92" i="2" a="1"/>
  <c r="E92" i="2" s="1"/>
  <c r="D92" i="2" a="1"/>
  <c r="D92" i="2" s="1"/>
  <c r="C92" i="2" a="1"/>
  <c r="C92" i="2" s="1"/>
  <c r="B92" i="2" a="1"/>
  <c r="B92" i="2" s="1"/>
  <c r="F91" i="2" a="1"/>
  <c r="F91" i="2" s="1"/>
  <c r="E91" i="2" a="1"/>
  <c r="E91" i="2" s="1"/>
  <c r="D91" i="2" a="1"/>
  <c r="D91" i="2" s="1"/>
  <c r="C91" i="2" a="1"/>
  <c r="C91" i="2" s="1"/>
  <c r="B91" i="2" a="1"/>
  <c r="B91" i="2" s="1"/>
  <c r="F90" i="2" a="1"/>
  <c r="F90" i="2" s="1"/>
  <c r="E90" i="2" a="1"/>
  <c r="E90" i="2" s="1"/>
  <c r="D90" i="2" a="1"/>
  <c r="D90" i="2" s="1"/>
  <c r="C90" i="2" a="1"/>
  <c r="C90" i="2" s="1"/>
  <c r="B90" i="2" a="1"/>
  <c r="B90" i="2" s="1"/>
  <c r="F89" i="2" a="1"/>
  <c r="F89" i="2" s="1"/>
  <c r="E89" i="2" a="1"/>
  <c r="E89" i="2" s="1"/>
  <c r="D89" i="2" a="1"/>
  <c r="D89" i="2" s="1"/>
  <c r="C89" i="2" a="1"/>
  <c r="C89" i="2" s="1"/>
  <c r="B89" i="2" a="1"/>
  <c r="B89" i="2" s="1"/>
  <c r="F88" i="2" a="1"/>
  <c r="F88" i="2" s="1"/>
  <c r="E88" i="2" a="1"/>
  <c r="E88" i="2" s="1"/>
  <c r="D88" i="2" a="1"/>
  <c r="D88" i="2" s="1"/>
  <c r="C88" i="2" a="1"/>
  <c r="C88" i="2" s="1"/>
  <c r="B88" i="2" a="1"/>
  <c r="B88" i="2" s="1"/>
  <c r="F87" i="2" a="1"/>
  <c r="F87" i="2" s="1"/>
  <c r="E87" i="2" a="1"/>
  <c r="E87" i="2" s="1"/>
  <c r="D87" i="2" a="1"/>
  <c r="D87" i="2" s="1"/>
  <c r="C87" i="2" a="1"/>
  <c r="C87" i="2" s="1"/>
  <c r="B87" i="2" a="1"/>
  <c r="B87" i="2" s="1"/>
  <c r="F86" i="2" a="1"/>
  <c r="F86" i="2" s="1"/>
  <c r="E86" i="2" a="1"/>
  <c r="E86" i="2" s="1"/>
  <c r="D86" i="2" a="1"/>
  <c r="D86" i="2" s="1"/>
  <c r="C86" i="2" a="1"/>
  <c r="C86" i="2" s="1"/>
  <c r="B86" i="2" a="1"/>
  <c r="B86" i="2" s="1"/>
  <c r="F85" i="2" a="1"/>
  <c r="F85" i="2" s="1"/>
  <c r="E85" i="2" a="1"/>
  <c r="E85" i="2" s="1"/>
  <c r="D85" i="2" a="1"/>
  <c r="D85" i="2" s="1"/>
  <c r="C85" i="2" a="1"/>
  <c r="C85" i="2" s="1"/>
  <c r="B85" i="2" a="1"/>
  <c r="B85" i="2" s="1"/>
  <c r="F84" i="2" a="1"/>
  <c r="F84" i="2" s="1"/>
  <c r="E84" i="2"/>
  <c r="E84" i="2" a="1"/>
  <c r="D84" i="2" a="1"/>
  <c r="D84" i="2" s="1"/>
  <c r="C84" i="2" a="1"/>
  <c r="C84" i="2" s="1"/>
  <c r="B84" i="2" a="1"/>
  <c r="B84" i="2" s="1"/>
  <c r="F83" i="2" a="1"/>
  <c r="F83" i="2" s="1"/>
  <c r="E83" i="2" a="1"/>
  <c r="E83" i="2" s="1"/>
  <c r="D83" i="2" a="1"/>
  <c r="D83" i="2" s="1"/>
  <c r="C83" i="2" a="1"/>
  <c r="C83" i="2" s="1"/>
  <c r="B83" i="2" a="1"/>
  <c r="B83" i="2" s="1"/>
  <c r="F82" i="2" a="1"/>
  <c r="F82" i="2" s="1"/>
  <c r="E82" i="2" a="1"/>
  <c r="E82" i="2" s="1"/>
  <c r="D82" i="2" a="1"/>
  <c r="D82" i="2" s="1"/>
  <c r="C82" i="2" a="1"/>
  <c r="C82" i="2" s="1"/>
  <c r="B82" i="2" a="1"/>
  <c r="B82" i="2" s="1"/>
  <c r="F81" i="2" a="1"/>
  <c r="F81" i="2" s="1"/>
  <c r="E81" i="2" a="1"/>
  <c r="E81" i="2" s="1"/>
  <c r="D81" i="2" a="1"/>
  <c r="D81" i="2" s="1"/>
  <c r="C81" i="2" a="1"/>
  <c r="C81" i="2" s="1"/>
  <c r="B81" i="2" a="1"/>
  <c r="B81" i="2" s="1"/>
  <c r="F80" i="2" a="1"/>
  <c r="F80" i="2" s="1"/>
  <c r="E80" i="2" a="1"/>
  <c r="E80" i="2" s="1"/>
  <c r="D80" i="2" a="1"/>
  <c r="D80" i="2" s="1"/>
  <c r="C80" i="2" a="1"/>
  <c r="C80" i="2" s="1"/>
  <c r="B80" i="2" a="1"/>
  <c r="B80" i="2" s="1"/>
  <c r="F79" i="2" a="1"/>
  <c r="F79" i="2" s="1"/>
  <c r="E79" i="2" a="1"/>
  <c r="E79" i="2" s="1"/>
  <c r="D79" i="2" a="1"/>
  <c r="D79" i="2" s="1"/>
  <c r="C79" i="2" a="1"/>
  <c r="C79" i="2" s="1"/>
  <c r="B79" i="2" a="1"/>
  <c r="B79" i="2" s="1"/>
  <c r="F78" i="2" a="1"/>
  <c r="F78" i="2" s="1"/>
  <c r="E78" i="2" a="1"/>
  <c r="E78" i="2" s="1"/>
  <c r="D78" i="2" a="1"/>
  <c r="D78" i="2" s="1"/>
  <c r="C78" i="2" a="1"/>
  <c r="C78" i="2" s="1"/>
  <c r="B78" i="2" a="1"/>
  <c r="B78" i="2" s="1"/>
  <c r="F77" i="2" a="1"/>
  <c r="F77" i="2" s="1"/>
  <c r="E77" i="2" a="1"/>
  <c r="E77" i="2" s="1"/>
  <c r="D77" i="2" a="1"/>
  <c r="D77" i="2" s="1"/>
  <c r="C77" i="2" a="1"/>
  <c r="C77" i="2" s="1"/>
  <c r="B77" i="2" a="1"/>
  <c r="B77" i="2" s="1"/>
  <c r="F76" i="2" a="1"/>
  <c r="F76" i="2" s="1"/>
  <c r="E76" i="2" a="1"/>
  <c r="E76" i="2" s="1"/>
  <c r="D76" i="2" a="1"/>
  <c r="D76" i="2" s="1"/>
  <c r="C76" i="2" a="1"/>
  <c r="C76" i="2" s="1"/>
  <c r="B76" i="2" a="1"/>
  <c r="B76" i="2" s="1"/>
  <c r="F75" i="2" a="1"/>
  <c r="F75" i="2" s="1"/>
  <c r="E75" i="2" a="1"/>
  <c r="E75" i="2" s="1"/>
  <c r="D75" i="2" a="1"/>
  <c r="D75" i="2" s="1"/>
  <c r="C75" i="2" a="1"/>
  <c r="C75" i="2" s="1"/>
  <c r="B75" i="2" a="1"/>
  <c r="B75" i="2" s="1"/>
  <c r="F74" i="2" a="1"/>
  <c r="F74" i="2" s="1"/>
  <c r="E74" i="2" a="1"/>
  <c r="E74" i="2" s="1"/>
  <c r="D74" i="2" a="1"/>
  <c r="D74" i="2" s="1"/>
  <c r="C74" i="2" a="1"/>
  <c r="C74" i="2" s="1"/>
  <c r="B74" i="2" a="1"/>
  <c r="B74" i="2" s="1"/>
  <c r="F73" i="2" a="1"/>
  <c r="F73" i="2" s="1"/>
  <c r="E73" i="2" a="1"/>
  <c r="E73" i="2" s="1"/>
  <c r="D73" i="2" a="1"/>
  <c r="D73" i="2" s="1"/>
  <c r="C73" i="2" a="1"/>
  <c r="C73" i="2" s="1"/>
  <c r="B73" i="2" a="1"/>
  <c r="B73" i="2" s="1"/>
  <c r="F72" i="2" a="1"/>
  <c r="F72" i="2" s="1"/>
  <c r="E72" i="2" a="1"/>
  <c r="E72" i="2" s="1"/>
  <c r="D72" i="2" a="1"/>
  <c r="D72" i="2" s="1"/>
  <c r="C72" i="2" a="1"/>
  <c r="C72" i="2" s="1"/>
  <c r="B72" i="2" a="1"/>
  <c r="B72" i="2" s="1"/>
  <c r="F71" i="2" a="1"/>
  <c r="F71" i="2" s="1"/>
  <c r="E71" i="2" a="1"/>
  <c r="E71" i="2" s="1"/>
  <c r="D71" i="2" a="1"/>
  <c r="D71" i="2" s="1"/>
  <c r="C71" i="2" a="1"/>
  <c r="C71" i="2" s="1"/>
  <c r="B71" i="2" a="1"/>
  <c r="B71" i="2" s="1"/>
  <c r="F70" i="2" a="1"/>
  <c r="F70" i="2" s="1"/>
  <c r="E70" i="2" a="1"/>
  <c r="E70" i="2" s="1"/>
  <c r="D70" i="2" a="1"/>
  <c r="D70" i="2" s="1"/>
  <c r="C70" i="2" a="1"/>
  <c r="C70" i="2" s="1"/>
  <c r="B70" i="2" a="1"/>
  <c r="B70" i="2" s="1"/>
  <c r="F69" i="2" a="1"/>
  <c r="F69" i="2" s="1"/>
  <c r="E69" i="2" a="1"/>
  <c r="E69" i="2" s="1"/>
  <c r="D69" i="2" a="1"/>
  <c r="D69" i="2" s="1"/>
  <c r="C69" i="2" a="1"/>
  <c r="C69" i="2" s="1"/>
  <c r="B69" i="2" a="1"/>
  <c r="B69" i="2" s="1"/>
  <c r="F68" i="2" a="1"/>
  <c r="F68" i="2" s="1"/>
  <c r="E68" i="2" a="1"/>
  <c r="E68" i="2" s="1"/>
  <c r="D68" i="2" a="1"/>
  <c r="D68" i="2" s="1"/>
  <c r="C68" i="2" a="1"/>
  <c r="C68" i="2" s="1"/>
  <c r="B68" i="2" a="1"/>
  <c r="B68" i="2" s="1"/>
  <c r="F67" i="2" a="1"/>
  <c r="F67" i="2" s="1"/>
  <c r="E67" i="2" a="1"/>
  <c r="E67" i="2" s="1"/>
  <c r="D67" i="2" a="1"/>
  <c r="D67" i="2" s="1"/>
  <c r="C67" i="2" a="1"/>
  <c r="C67" i="2" s="1"/>
  <c r="B67" i="2" a="1"/>
  <c r="B67" i="2" s="1"/>
  <c r="F66" i="2" a="1"/>
  <c r="F66" i="2" s="1"/>
  <c r="E66" i="2" a="1"/>
  <c r="E66" i="2" s="1"/>
  <c r="D66" i="2" a="1"/>
  <c r="D66" i="2" s="1"/>
  <c r="C66" i="2" a="1"/>
  <c r="C66" i="2" s="1"/>
  <c r="B66" i="2" a="1"/>
  <c r="B66" i="2" s="1"/>
  <c r="F65" i="2" a="1"/>
  <c r="F65" i="2" s="1"/>
  <c r="E65" i="2" a="1"/>
  <c r="E65" i="2" s="1"/>
  <c r="D65" i="2" a="1"/>
  <c r="D65" i="2" s="1"/>
  <c r="C65" i="2" a="1"/>
  <c r="C65" i="2" s="1"/>
  <c r="B65" i="2" a="1"/>
  <c r="B65" i="2" s="1"/>
  <c r="F64" i="2" a="1"/>
  <c r="F64" i="2" s="1"/>
  <c r="E64" i="2" a="1"/>
  <c r="E64" i="2" s="1"/>
  <c r="D64" i="2" a="1"/>
  <c r="D64" i="2" s="1"/>
  <c r="C64" i="2" a="1"/>
  <c r="C64" i="2" s="1"/>
  <c r="B64" i="2" a="1"/>
  <c r="B64" i="2" s="1"/>
  <c r="F63" i="2" a="1"/>
  <c r="F63" i="2" s="1"/>
  <c r="E63" i="2" a="1"/>
  <c r="E63" i="2" s="1"/>
  <c r="D63" i="2" a="1"/>
  <c r="D63" i="2" s="1"/>
  <c r="C63" i="2" a="1"/>
  <c r="C63" i="2" s="1"/>
  <c r="B63" i="2" a="1"/>
  <c r="B63" i="2" s="1"/>
  <c r="F62" i="2" a="1"/>
  <c r="F62" i="2" s="1"/>
  <c r="E62" i="2" a="1"/>
  <c r="E62" i="2" s="1"/>
  <c r="D62" i="2" a="1"/>
  <c r="D62" i="2" s="1"/>
  <c r="C62" i="2" a="1"/>
  <c r="C62" i="2" s="1"/>
  <c r="B62" i="2" a="1"/>
  <c r="B62" i="2" s="1"/>
  <c r="F61" i="2" a="1"/>
  <c r="F61" i="2" s="1"/>
  <c r="E61" i="2" a="1"/>
  <c r="E61" i="2" s="1"/>
  <c r="D61" i="2" a="1"/>
  <c r="D61" i="2" s="1"/>
  <c r="C61" i="2" a="1"/>
  <c r="C61" i="2" s="1"/>
  <c r="B61" i="2" a="1"/>
  <c r="B61" i="2" s="1"/>
  <c r="F60" i="2" a="1"/>
  <c r="F60" i="2" s="1"/>
  <c r="E60" i="2" a="1"/>
  <c r="E60" i="2" s="1"/>
  <c r="D60" i="2" a="1"/>
  <c r="D60" i="2" s="1"/>
  <c r="C60" i="2" a="1"/>
  <c r="C60" i="2" s="1"/>
  <c r="B60" i="2" a="1"/>
  <c r="B60" i="2" s="1"/>
  <c r="F59" i="2" a="1"/>
  <c r="F59" i="2" s="1"/>
  <c r="E59" i="2" a="1"/>
  <c r="E59" i="2" s="1"/>
  <c r="D59" i="2" a="1"/>
  <c r="D59" i="2" s="1"/>
  <c r="C59" i="2" a="1"/>
  <c r="C59" i="2" s="1"/>
  <c r="B59" i="2" a="1"/>
  <c r="B59" i="2" s="1"/>
  <c r="F58" i="2" a="1"/>
  <c r="F58" i="2" s="1"/>
  <c r="E58" i="2" a="1"/>
  <c r="E58" i="2" s="1"/>
  <c r="D58" i="2" a="1"/>
  <c r="D58" i="2" s="1"/>
  <c r="C58" i="2" a="1"/>
  <c r="C58" i="2" s="1"/>
  <c r="B58" i="2" a="1"/>
  <c r="B58" i="2" s="1"/>
  <c r="F57" i="2" a="1"/>
  <c r="F57" i="2" s="1"/>
  <c r="E57" i="2" a="1"/>
  <c r="E57" i="2" s="1"/>
  <c r="D57" i="2" a="1"/>
  <c r="D57" i="2" s="1"/>
  <c r="C57" i="2" a="1"/>
  <c r="C57" i="2" s="1"/>
  <c r="B57" i="2" a="1"/>
  <c r="B57" i="2" s="1"/>
  <c r="F56" i="2" a="1"/>
  <c r="F56" i="2" s="1"/>
  <c r="E56" i="2" a="1"/>
  <c r="E56" i="2" s="1"/>
  <c r="D56" i="2" a="1"/>
  <c r="D56" i="2" s="1"/>
  <c r="C56" i="2" a="1"/>
  <c r="C56" i="2" s="1"/>
  <c r="B56" i="2" a="1"/>
  <c r="B56" i="2" s="1"/>
  <c r="F55" i="2" a="1"/>
  <c r="F55" i="2" s="1"/>
  <c r="E55" i="2" a="1"/>
  <c r="E55" i="2" s="1"/>
  <c r="D55" i="2" a="1"/>
  <c r="D55" i="2" s="1"/>
  <c r="C55" i="2" a="1"/>
  <c r="C55" i="2" s="1"/>
  <c r="B55" i="2" a="1"/>
  <c r="B55" i="2" s="1"/>
  <c r="F54" i="2" a="1"/>
  <c r="F54" i="2" s="1"/>
  <c r="E54" i="2" a="1"/>
  <c r="E54" i="2" s="1"/>
  <c r="D54" i="2" a="1"/>
  <c r="D54" i="2" s="1"/>
  <c r="C54" i="2" a="1"/>
  <c r="C54" i="2" s="1"/>
  <c r="B54" i="2" a="1"/>
  <c r="B54" i="2" s="1"/>
  <c r="F53" i="2" a="1"/>
  <c r="F53" i="2" s="1"/>
  <c r="E53" i="2" a="1"/>
  <c r="E53" i="2" s="1"/>
  <c r="D53" i="2" a="1"/>
  <c r="D53" i="2" s="1"/>
  <c r="C53" i="2" a="1"/>
  <c r="C53" i="2" s="1"/>
  <c r="B53" i="2" a="1"/>
  <c r="B53" i="2" s="1"/>
  <c r="F52" i="2" a="1"/>
  <c r="F52" i="2" s="1"/>
  <c r="E52" i="2" a="1"/>
  <c r="E52" i="2" s="1"/>
  <c r="D52" i="2" a="1"/>
  <c r="D52" i="2" s="1"/>
  <c r="C52" i="2" a="1"/>
  <c r="C52" i="2" s="1"/>
  <c r="B52" i="2" a="1"/>
  <c r="B52" i="2" s="1"/>
  <c r="F51" i="2" a="1"/>
  <c r="F51" i="2" s="1"/>
  <c r="E51" i="2" a="1"/>
  <c r="E51" i="2" s="1"/>
  <c r="D51" i="2" a="1"/>
  <c r="D51" i="2" s="1"/>
  <c r="C51" i="2" a="1"/>
  <c r="C51" i="2" s="1"/>
  <c r="B51" i="2" a="1"/>
  <c r="B51" i="2" s="1"/>
  <c r="F50" i="2" a="1"/>
  <c r="F50" i="2" s="1"/>
  <c r="E50" i="2" a="1"/>
  <c r="E50" i="2" s="1"/>
  <c r="D50" i="2" a="1"/>
  <c r="D50" i="2" s="1"/>
  <c r="C50" i="2" a="1"/>
  <c r="C50" i="2" s="1"/>
  <c r="B50" i="2" a="1"/>
  <c r="B50" i="2" s="1"/>
  <c r="F49" i="2" a="1"/>
  <c r="F49" i="2" s="1"/>
  <c r="E49" i="2" a="1"/>
  <c r="E49" i="2" s="1"/>
  <c r="D49" i="2" a="1"/>
  <c r="D49" i="2" s="1"/>
  <c r="C49" i="2" a="1"/>
  <c r="C49" i="2" s="1"/>
  <c r="B49" i="2" a="1"/>
  <c r="B49" i="2" s="1"/>
  <c r="F48" i="2" a="1"/>
  <c r="F48" i="2" s="1"/>
  <c r="E48" i="2" a="1"/>
  <c r="E48" i="2" s="1"/>
  <c r="D48" i="2" a="1"/>
  <c r="D48" i="2" s="1"/>
  <c r="C48" i="2" a="1"/>
  <c r="C48" i="2" s="1"/>
  <c r="B48" i="2" a="1"/>
  <c r="B48" i="2" s="1"/>
  <c r="F47" i="2" a="1"/>
  <c r="F47" i="2" s="1"/>
  <c r="E47" i="2" a="1"/>
  <c r="E47" i="2" s="1"/>
  <c r="D47" i="2" a="1"/>
  <c r="D47" i="2" s="1"/>
  <c r="C47" i="2" a="1"/>
  <c r="C47" i="2" s="1"/>
  <c r="B47" i="2" a="1"/>
  <c r="B47" i="2" s="1"/>
  <c r="F46" i="2" a="1"/>
  <c r="F46" i="2" s="1"/>
  <c r="E46" i="2" a="1"/>
  <c r="E46" i="2" s="1"/>
  <c r="D46" i="2" a="1"/>
  <c r="D46" i="2" s="1"/>
  <c r="C46" i="2" a="1"/>
  <c r="C46" i="2" s="1"/>
  <c r="B46" i="2" a="1"/>
  <c r="B46" i="2" s="1"/>
  <c r="F45" i="2" a="1"/>
  <c r="F45" i="2" s="1"/>
  <c r="E45" i="2" a="1"/>
  <c r="E45" i="2" s="1"/>
  <c r="D45" i="2" a="1"/>
  <c r="D45" i="2" s="1"/>
  <c r="C45" i="2" a="1"/>
  <c r="C45" i="2" s="1"/>
  <c r="B45" i="2" a="1"/>
  <c r="B45" i="2" s="1"/>
  <c r="F44" i="2" a="1"/>
  <c r="F44" i="2" s="1"/>
  <c r="E44" i="2" a="1"/>
  <c r="E44" i="2" s="1"/>
  <c r="D44" i="2" a="1"/>
  <c r="D44" i="2" s="1"/>
  <c r="C44" i="2" a="1"/>
  <c r="C44" i="2" s="1"/>
  <c r="B44" i="2" a="1"/>
  <c r="B44" i="2" s="1"/>
  <c r="F43" i="2" a="1"/>
  <c r="F43" i="2" s="1"/>
  <c r="E43" i="2" a="1"/>
  <c r="E43" i="2" s="1"/>
  <c r="D43" i="2"/>
  <c r="D43" i="2" a="1"/>
  <c r="C43" i="2" a="1"/>
  <c r="C43" i="2" s="1"/>
  <c r="B43" i="2" a="1"/>
  <c r="B43" i="2" s="1"/>
  <c r="F42" i="2" a="1"/>
  <c r="F42" i="2" s="1"/>
  <c r="E42" i="2" a="1"/>
  <c r="E42" i="2" s="1"/>
  <c r="D42" i="2" a="1"/>
  <c r="D42" i="2" s="1"/>
  <c r="C42" i="2" a="1"/>
  <c r="C42" i="2" s="1"/>
  <c r="B42" i="2" a="1"/>
  <c r="B42" i="2" s="1"/>
  <c r="F41" i="2" a="1"/>
  <c r="F41" i="2" s="1"/>
  <c r="E41" i="2" a="1"/>
  <c r="E41" i="2" s="1"/>
  <c r="D41" i="2" a="1"/>
  <c r="D41" i="2" s="1"/>
  <c r="C41" i="2" a="1"/>
  <c r="C41" i="2" s="1"/>
  <c r="B41" i="2" a="1"/>
  <c r="B41" i="2" s="1"/>
  <c r="F40" i="2" a="1"/>
  <c r="F40" i="2" s="1"/>
  <c r="E40" i="2" a="1"/>
  <c r="E40" i="2" s="1"/>
  <c r="D40" i="2" a="1"/>
  <c r="D40" i="2" s="1"/>
  <c r="C40" i="2" a="1"/>
  <c r="C40" i="2" s="1"/>
  <c r="B40" i="2" a="1"/>
  <c r="B40" i="2" s="1"/>
  <c r="F39" i="2" a="1"/>
  <c r="F39" i="2" s="1"/>
  <c r="E39" i="2" a="1"/>
  <c r="E39" i="2" s="1"/>
  <c r="D39" i="2" a="1"/>
  <c r="D39" i="2" s="1"/>
  <c r="C39" i="2" a="1"/>
  <c r="C39" i="2" s="1"/>
  <c r="B39" i="2" a="1"/>
  <c r="B39" i="2" s="1"/>
  <c r="F38" i="2" a="1"/>
  <c r="F38" i="2" s="1"/>
  <c r="E38" i="2" a="1"/>
  <c r="E38" i="2" s="1"/>
  <c r="D38" i="2" a="1"/>
  <c r="D38" i="2" s="1"/>
  <c r="C38" i="2" a="1"/>
  <c r="C38" i="2" s="1"/>
  <c r="B38" i="2" a="1"/>
  <c r="B38" i="2" s="1"/>
  <c r="F37" i="2" a="1"/>
  <c r="F37" i="2" s="1"/>
  <c r="E37" i="2" a="1"/>
  <c r="E37" i="2" s="1"/>
  <c r="D37" i="2" a="1"/>
  <c r="D37" i="2" s="1"/>
  <c r="C37" i="2" a="1"/>
  <c r="C37" i="2" s="1"/>
  <c r="B37" i="2" a="1"/>
  <c r="B37" i="2" s="1"/>
  <c r="F36" i="2" a="1"/>
  <c r="F36" i="2" s="1"/>
  <c r="E36" i="2" a="1"/>
  <c r="E36" i="2" s="1"/>
  <c r="D36" i="2" a="1"/>
  <c r="D36" i="2" s="1"/>
  <c r="C36" i="2" a="1"/>
  <c r="C36" i="2" s="1"/>
  <c r="B36" i="2" a="1"/>
  <c r="B36" i="2" s="1"/>
  <c r="F35" i="2" a="1"/>
  <c r="F35" i="2" s="1"/>
  <c r="E35" i="2" a="1"/>
  <c r="E35" i="2" s="1"/>
  <c r="D35" i="2" a="1"/>
  <c r="D35" i="2" s="1"/>
  <c r="C35" i="2" a="1"/>
  <c r="C35" i="2" s="1"/>
  <c r="B35" i="2" a="1"/>
  <c r="B35" i="2" s="1"/>
  <c r="F34" i="2" a="1"/>
  <c r="F34" i="2" s="1"/>
  <c r="E34" i="2" a="1"/>
  <c r="E34" i="2" s="1"/>
  <c r="D34" i="2" a="1"/>
  <c r="D34" i="2" s="1"/>
  <c r="C34" i="2" a="1"/>
  <c r="C34" i="2" s="1"/>
  <c r="B34" i="2" a="1"/>
  <c r="B34" i="2" s="1"/>
  <c r="F33" i="2" a="1"/>
  <c r="F33" i="2" s="1"/>
  <c r="E33" i="2" a="1"/>
  <c r="E33" i="2" s="1"/>
  <c r="D33" i="2" a="1"/>
  <c r="D33" i="2" s="1"/>
  <c r="C33" i="2" a="1"/>
  <c r="C33" i="2" s="1"/>
  <c r="B33" i="2" a="1"/>
  <c r="B33" i="2" s="1"/>
  <c r="F32" i="2" a="1"/>
  <c r="F32" i="2" s="1"/>
  <c r="E32" i="2" a="1"/>
  <c r="E32" i="2" s="1"/>
  <c r="D32" i="2" a="1"/>
  <c r="D32" i="2" s="1"/>
  <c r="C32" i="2" a="1"/>
  <c r="C32" i="2" s="1"/>
  <c r="B32" i="2" a="1"/>
  <c r="B32" i="2" s="1"/>
  <c r="F31" i="2" a="1"/>
  <c r="F31" i="2" s="1"/>
  <c r="E31" i="2" a="1"/>
  <c r="E31" i="2" s="1"/>
  <c r="D31" i="2" a="1"/>
  <c r="D31" i="2" s="1"/>
  <c r="C31" i="2" a="1"/>
  <c r="C31" i="2" s="1"/>
  <c r="B31" i="2" a="1"/>
  <c r="B31" i="2" s="1"/>
  <c r="F30" i="2" a="1"/>
  <c r="F30" i="2" s="1"/>
  <c r="E30" i="2" a="1"/>
  <c r="E30" i="2" s="1"/>
  <c r="D30" i="2" a="1"/>
  <c r="D30" i="2" s="1"/>
  <c r="C30" i="2" a="1"/>
  <c r="C30" i="2" s="1"/>
  <c r="B30" i="2" a="1"/>
  <c r="B30" i="2" s="1"/>
  <c r="F29" i="2" a="1"/>
  <c r="F29" i="2" s="1"/>
  <c r="E29" i="2" a="1"/>
  <c r="E29" i="2" s="1"/>
  <c r="D29" i="2" a="1"/>
  <c r="D29" i="2" s="1"/>
  <c r="C29" i="2" a="1"/>
  <c r="C29" i="2" s="1"/>
  <c r="B29" i="2" a="1"/>
  <c r="B29" i="2" s="1"/>
  <c r="F28" i="2" a="1"/>
  <c r="F28" i="2" s="1"/>
  <c r="E28" i="2"/>
  <c r="E28" i="2" a="1"/>
  <c r="D28" i="2" a="1"/>
  <c r="D28" i="2" s="1"/>
  <c r="C28" i="2" a="1"/>
  <c r="C28" i="2" s="1"/>
  <c r="B28" i="2" a="1"/>
  <c r="B28" i="2" s="1"/>
  <c r="F27" i="2" a="1"/>
  <c r="F27" i="2" s="1"/>
  <c r="E27" i="2" a="1"/>
  <c r="E27" i="2" s="1"/>
  <c r="D27" i="2" a="1"/>
  <c r="D27" i="2" s="1"/>
  <c r="C27" i="2" a="1"/>
  <c r="C27" i="2" s="1"/>
  <c r="B27" i="2" a="1"/>
  <c r="B27" i="2" s="1"/>
  <c r="F26" i="2" a="1"/>
  <c r="F26" i="2" s="1"/>
  <c r="E26" i="2" a="1"/>
  <c r="E26" i="2" s="1"/>
  <c r="D26" i="2" a="1"/>
  <c r="D26" i="2" s="1"/>
  <c r="C26" i="2" a="1"/>
  <c r="C26" i="2" s="1"/>
  <c r="B26" i="2" a="1"/>
  <c r="B26" i="2" s="1"/>
  <c r="F25" i="2" a="1"/>
  <c r="F25" i="2" s="1"/>
  <c r="E25" i="2" a="1"/>
  <c r="E25" i="2" s="1"/>
  <c r="D25" i="2" a="1"/>
  <c r="D25" i="2" s="1"/>
  <c r="C25" i="2" a="1"/>
  <c r="C25" i="2" s="1"/>
  <c r="B25" i="2" a="1"/>
  <c r="B25" i="2" s="1"/>
  <c r="F24" i="2" a="1"/>
  <c r="F24" i="2" s="1"/>
  <c r="E24" i="2" a="1"/>
  <c r="E24" i="2" s="1"/>
  <c r="D24" i="2" a="1"/>
  <c r="D24" i="2" s="1"/>
  <c r="C24" i="2" a="1"/>
  <c r="C24" i="2" s="1"/>
  <c r="B24" i="2" a="1"/>
  <c r="B24" i="2" s="1"/>
  <c r="F23" i="2" a="1"/>
  <c r="F23" i="2" s="1"/>
  <c r="E23" i="2" a="1"/>
  <c r="E23" i="2" s="1"/>
  <c r="D23" i="2" a="1"/>
  <c r="D23" i="2" s="1"/>
  <c r="C23" i="2" a="1"/>
  <c r="C23" i="2" s="1"/>
  <c r="B23" i="2" a="1"/>
  <c r="B23" i="2" s="1"/>
  <c r="F22" i="2" a="1"/>
  <c r="F22" i="2" s="1"/>
  <c r="E22" i="2"/>
  <c r="E22" i="2" a="1"/>
  <c r="D22" i="2" a="1"/>
  <c r="D22" i="2" s="1"/>
  <c r="C22" i="2" a="1"/>
  <c r="C22" i="2" s="1"/>
  <c r="B22" i="2" a="1"/>
  <c r="B22" i="2" s="1"/>
  <c r="F21" i="2" a="1"/>
  <c r="F21" i="2" s="1"/>
  <c r="E21" i="2" a="1"/>
  <c r="E21" i="2" s="1"/>
  <c r="D21" i="2" a="1"/>
  <c r="D21" i="2" s="1"/>
  <c r="C21" i="2" a="1"/>
  <c r="C21" i="2" s="1"/>
  <c r="B21" i="2" a="1"/>
  <c r="B21" i="2" s="1"/>
  <c r="F20" i="2" a="1"/>
  <c r="F20" i="2" s="1"/>
  <c r="E20" i="2" a="1"/>
  <c r="E20" i="2" s="1"/>
  <c r="D20" i="2" a="1"/>
  <c r="D20" i="2" s="1"/>
  <c r="C20" i="2" a="1"/>
  <c r="C20" i="2" s="1"/>
  <c r="B20" i="2" a="1"/>
  <c r="B20" i="2" s="1"/>
  <c r="F19" i="2" a="1"/>
  <c r="F19" i="2" s="1"/>
  <c r="E19" i="2" a="1"/>
  <c r="E19" i="2" s="1"/>
  <c r="D19" i="2" a="1"/>
  <c r="D19" i="2" s="1"/>
  <c r="C19" i="2" a="1"/>
  <c r="C19" i="2" s="1"/>
  <c r="B19" i="2" a="1"/>
  <c r="B19" i="2" s="1"/>
  <c r="F18" i="2" a="1"/>
  <c r="F18" i="2" s="1"/>
  <c r="E18" i="2" a="1"/>
  <c r="E18" i="2" s="1"/>
  <c r="D18" i="2" a="1"/>
  <c r="D18" i="2" s="1"/>
  <c r="C18" i="2" a="1"/>
  <c r="C18" i="2" s="1"/>
  <c r="B18" i="2" a="1"/>
  <c r="B18" i="2" s="1"/>
  <c r="F17" i="2" a="1"/>
  <c r="F17" i="2" s="1"/>
  <c r="E17" i="2" a="1"/>
  <c r="E17" i="2" s="1"/>
  <c r="D17" i="2" a="1"/>
  <c r="D17" i="2" s="1"/>
  <c r="C17" i="2" a="1"/>
  <c r="C17" i="2" s="1"/>
  <c r="B17" i="2" a="1"/>
  <c r="B17" i="2" s="1"/>
  <c r="F16" i="2" a="1"/>
  <c r="F16" i="2" s="1"/>
  <c r="E16" i="2" a="1"/>
  <c r="E16" i="2" s="1"/>
  <c r="D16" i="2" a="1"/>
  <c r="D16" i="2" s="1"/>
  <c r="C16" i="2" a="1"/>
  <c r="C16" i="2" s="1"/>
  <c r="B16" i="2" a="1"/>
  <c r="B16" i="2" s="1"/>
  <c r="F15" i="2" a="1"/>
  <c r="F15" i="2" s="1"/>
  <c r="E15" i="2" a="1"/>
  <c r="E15" i="2" s="1"/>
  <c r="D15" i="2" a="1"/>
  <c r="D15" i="2" s="1"/>
  <c r="C15" i="2" a="1"/>
  <c r="C15" i="2" s="1"/>
  <c r="B15" i="2" a="1"/>
  <c r="B15" i="2" s="1"/>
  <c r="F14" i="2" a="1"/>
  <c r="F14" i="2" s="1"/>
  <c r="E14" i="2" a="1"/>
  <c r="E14" i="2" s="1"/>
  <c r="D14" i="2" a="1"/>
  <c r="D14" i="2" s="1"/>
  <c r="C14" i="2" a="1"/>
  <c r="C14" i="2" s="1"/>
  <c r="B14" i="2" a="1"/>
  <c r="B14" i="2" s="1"/>
  <c r="F13" i="2" a="1"/>
  <c r="F13" i="2" s="1"/>
  <c r="E13" i="2" a="1"/>
  <c r="E13" i="2" s="1"/>
  <c r="D13" i="2" a="1"/>
  <c r="D13" i="2" s="1"/>
  <c r="C13" i="2" a="1"/>
  <c r="C13" i="2" s="1"/>
  <c r="B13" i="2" a="1"/>
  <c r="B13" i="2" s="1"/>
  <c r="F12" i="2" a="1"/>
  <c r="F12" i="2" s="1"/>
  <c r="E12" i="2" a="1"/>
  <c r="E12" i="2" s="1"/>
  <c r="D12" i="2" a="1"/>
  <c r="D12" i="2" s="1"/>
  <c r="C12" i="2" a="1"/>
  <c r="C12" i="2" s="1"/>
  <c r="B12" i="2" a="1"/>
  <c r="B12" i="2" s="1"/>
  <c r="F11" i="2" a="1"/>
  <c r="F11" i="2" s="1"/>
  <c r="E11" i="2" a="1"/>
  <c r="E11" i="2" s="1"/>
  <c r="D11" i="2" a="1"/>
  <c r="D11" i="2" s="1"/>
  <c r="C11" i="2" a="1"/>
  <c r="C11" i="2" s="1"/>
  <c r="B11" i="2" a="1"/>
  <c r="B11" i="2" s="1"/>
  <c r="F10" i="2" a="1"/>
  <c r="F10" i="2" s="1"/>
  <c r="E10" i="2" a="1"/>
  <c r="E10" i="2" s="1"/>
  <c r="D10" i="2" a="1"/>
  <c r="D10" i="2" s="1"/>
  <c r="C10" i="2" a="1"/>
  <c r="C10" i="2" s="1"/>
  <c r="B10" i="2" a="1"/>
  <c r="B10" i="2" s="1"/>
  <c r="F9" i="2" a="1"/>
  <c r="F9" i="2" s="1"/>
  <c r="E9" i="2" a="1"/>
  <c r="E9" i="2" s="1"/>
  <c r="D9" i="2" a="1"/>
  <c r="D9" i="2" s="1"/>
  <c r="C9" i="2" a="1"/>
  <c r="C9" i="2" s="1"/>
  <c r="B9" i="2" a="1"/>
  <c r="B9" i="2" s="1"/>
  <c r="F8" i="2" a="1"/>
  <c r="F8" i="2" s="1"/>
  <c r="E8" i="2" a="1"/>
  <c r="E8" i="2" s="1"/>
  <c r="D8" i="2" a="1"/>
  <c r="D8" i="2" s="1"/>
  <c r="C8" i="2" a="1"/>
  <c r="C8" i="2" s="1"/>
  <c r="B8" i="2" a="1"/>
  <c r="B8" i="2" s="1"/>
  <c r="F7" i="2" a="1"/>
  <c r="F7" i="2" s="1"/>
  <c r="E7" i="2" a="1"/>
  <c r="E7" i="2" s="1"/>
  <c r="D7" i="2" a="1"/>
  <c r="D7" i="2" s="1"/>
  <c r="C7" i="2" a="1"/>
  <c r="C7" i="2" s="1"/>
  <c r="B7" i="2" a="1"/>
  <c r="B7" i="2" s="1"/>
  <c r="F6" i="2" a="1"/>
  <c r="F6" i="2" s="1"/>
  <c r="E6" i="2" a="1"/>
  <c r="E6" i="2" s="1"/>
  <c r="D6" i="2" a="1"/>
  <c r="D6" i="2" s="1"/>
  <c r="C6" i="2" a="1"/>
  <c r="C6" i="2" s="1"/>
  <c r="B6" i="2" a="1"/>
  <c r="B6" i="2" s="1"/>
  <c r="F5" i="2" a="1"/>
  <c r="F5" i="2" s="1"/>
  <c r="E5" i="2" a="1"/>
  <c r="E5" i="2" s="1"/>
  <c r="D5" i="2" a="1"/>
  <c r="D5" i="2" s="1"/>
  <c r="C5" i="2" a="1"/>
  <c r="C5" i="2" s="1"/>
  <c r="B5" i="2" a="1"/>
  <c r="B5" i="2" s="1"/>
  <c r="F4" i="2" a="1"/>
  <c r="F4" i="2" s="1"/>
  <c r="E4" i="2" a="1"/>
  <c r="E4" i="2" s="1"/>
  <c r="D4" i="2" a="1"/>
  <c r="D4" i="2" s="1"/>
  <c r="C4" i="2" a="1"/>
  <c r="C4" i="2" s="1"/>
  <c r="B4" i="2" a="1"/>
  <c r="B4" i="2" s="1"/>
  <c r="F3" i="2" a="1"/>
  <c r="F3" i="2" s="1"/>
  <c r="E3" i="2" a="1"/>
  <c r="E3" i="2" s="1"/>
  <c r="D3" i="2" a="1"/>
  <c r="D3" i="2" s="1"/>
  <c r="C3" i="2" a="1"/>
  <c r="C3" i="2" s="1"/>
  <c r="B3" i="2" a="1"/>
  <c r="B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<sst xmlns="http://schemas.openxmlformats.org/spreadsheetml/2006/main" count="7" uniqueCount="7">
  <si>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R1</t>
  </si>
  <si>
    <t>R2</t>
  </si>
  <si>
    <t>R3</t>
  </si>
  <si>
    <t>R4</t>
  </si>
  <si>
    <t>R5</t>
  </si>
  <si>
    <t>Reel Layout - 1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</si>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</sst>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gsucharitha_lnw_com/Documents/QZ%20Team/Games%20QA/Math%20File/Pays_AAF9-000-1000_to_1040.xlsx" TargetMode="External"/><Relationship Id="rId2" Type="http://schemas.openxmlformats.org/officeDocument/2006/relationships/externalLinkPath" Target="https://lightnwonderind-my.sharepoint.com/personal/gsucharitha_lnw_com/Documents/QZ%20Team/Games%20QA/Math%20File/Pays_AAF9-000-1000_to_1040.xlsx" TargetMode="External"/><Relationship Id="rId1" Type="http://schemas.openxmlformats.org/officeDocument/2006/relationships/externalLinkPath" Target="/personal/gsucharitha_lnw_com/Documents/QZ%20Team/Games%20QA/Math%20File/Pays_AAF9-000-1000_to_104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int_Summary"/>
      <sheetName val="Print_GameRules"/>
      <sheetName val="Print_1101YX_88%"/>
      <sheetName val="Print_1103AX_88%"/>
      <sheetName val="Print_11030X_88%"/>
      <sheetName val="Print_11033X_88%"/>
      <sheetName val="Print_1102RX_88%"/>
      <sheetName val="Print_1101LX_88%"/>
      <sheetName val="Print_11020X_87%"/>
      <sheetName val="Print_11021X_90%"/>
      <sheetName val="Print_11022X_93%"/>
      <sheetName val="Print_1103CX_87%"/>
      <sheetName val="Print_1103DX_90%"/>
      <sheetName val="Print_1103EX_93%"/>
      <sheetName val="Print_1102ZX_87%"/>
      <sheetName val="Print_11031X_90%"/>
      <sheetName val="Print_11032X_93%"/>
      <sheetName val="Print_11034X_87%"/>
      <sheetName val="Print_11035X_90%"/>
      <sheetName val="Print_11036X_93%"/>
      <sheetName val="Print_11037X_88%"/>
      <sheetName val="Print_11038X_90%"/>
      <sheetName val="Print_11039X_93%"/>
      <sheetName val="Print_1102SX_90%"/>
      <sheetName val="Print_1102TX_93%"/>
      <sheetName val="Print_1101MX_90%"/>
      <sheetName val="Print_1101NX_93%"/>
      <sheetName val="Print_1106HX_89%"/>
      <sheetName val="Print_1106JX_90%"/>
      <sheetName val="Print_1106KX_92%"/>
      <sheetName val="Print_1106LX_93%"/>
      <sheetName val="Print_1106MX_89%"/>
      <sheetName val="Print_1106NX_90%"/>
      <sheetName val="Print_1106PX_92%"/>
      <sheetName val="Print_1106QX_93%"/>
      <sheetName val="Print_1106RX_89%"/>
      <sheetName val="Print_1106SX_90%"/>
      <sheetName val="Print_1106TX_92%"/>
      <sheetName val="Print_1106UX_93%"/>
      <sheetName val="Print_1106VX_89%"/>
      <sheetName val="Print_1106YX_90%"/>
      <sheetName val="Print_1106ZX_92%"/>
      <sheetName val="Print_11070X_93%"/>
      <sheetName val="Print_11071X_88%"/>
      <sheetName val="Print_11072X_90%"/>
      <sheetName val="Print_11073X_92%"/>
      <sheetName val="Print_11074X_93%"/>
      <sheetName val="Print_11075X_88%"/>
      <sheetName val="Print_11077X_92%"/>
      <sheetName val="Print_11078X_93%"/>
      <sheetName val="Print_110X76_90%"/>
      <sheetName val="Print_111BZX_89%"/>
      <sheetName val="Print_111C0X_90%"/>
      <sheetName val="Print_111C1X_92%"/>
      <sheetName val="Print_111C2X_93%"/>
      <sheetName val="ThemeDatabase_Paytables"/>
      <sheetName val="Pennsylvania_Odds"/>
    </sheetNames>
    <sheetDataSet>
      <sheetData sheetId="0">
        <row r="23">
          <cell r="O23" t="str">
            <v>WC</v>
          </cell>
          <cell r="P23" t="str">
            <v>WILD</v>
          </cell>
        </row>
        <row r="24">
          <cell r="O24" t="str">
            <v>AA</v>
          </cell>
          <cell r="P24" t="str">
            <v>Ox</v>
          </cell>
        </row>
        <row r="25">
          <cell r="O25" t="str">
            <v>BB</v>
          </cell>
          <cell r="P25" t="str">
            <v>Pisces</v>
          </cell>
        </row>
        <row r="26">
          <cell r="O26" t="str">
            <v>CC</v>
          </cell>
          <cell r="P26" t="str">
            <v>Wealth Pot</v>
          </cell>
        </row>
        <row r="27">
          <cell r="O27" t="str">
            <v>DD</v>
          </cell>
          <cell r="P27" t="str">
            <v>Arm Band</v>
          </cell>
        </row>
        <row r="28">
          <cell r="O28" t="str">
            <v>EE</v>
          </cell>
          <cell r="P28" t="str">
            <v>Ace</v>
          </cell>
        </row>
        <row r="29">
          <cell r="O29" t="str">
            <v>FF</v>
          </cell>
          <cell r="P29" t="str">
            <v>King</v>
          </cell>
        </row>
        <row r="30">
          <cell r="O30" t="str">
            <v>GG</v>
          </cell>
          <cell r="P30" t="str">
            <v>Queen</v>
          </cell>
        </row>
        <row r="31">
          <cell r="O31" t="str">
            <v>HH</v>
          </cell>
          <cell r="P31" t="str">
            <v>Jack</v>
          </cell>
        </row>
        <row r="32">
          <cell r="O32" t="str">
            <v>JJ</v>
          </cell>
          <cell r="P32" t="str">
            <v>Ten</v>
          </cell>
        </row>
        <row r="33">
          <cell r="O33" t="str">
            <v>MS</v>
          </cell>
          <cell r="P33" t="str">
            <v>Mystery1</v>
          </cell>
        </row>
        <row r="34">
          <cell r="O34" t="str">
            <v>SC</v>
          </cell>
          <cell r="P34" t="str">
            <v>Orb</v>
          </cell>
        </row>
        <row r="35">
          <cell r="O35" t="str">
            <v>SF</v>
          </cell>
          <cell r="P35" t="str">
            <v>Orb (Splittable)</v>
          </cell>
        </row>
        <row r="36">
          <cell r="O36" t="str">
            <v>MC</v>
          </cell>
          <cell r="P36" t="str">
            <v>Mystery (Orb)</v>
          </cell>
        </row>
        <row r="37">
          <cell r="O37" t="str">
            <v>MO</v>
          </cell>
          <cell r="P37" t="str">
            <v>Mystery2</v>
          </cell>
        </row>
        <row r="38">
          <cell r="O38" t="str">
            <v>FO</v>
          </cell>
          <cell r="P38" t="str">
            <v>Fortune</v>
          </cell>
        </row>
        <row r="39">
          <cell r="O39" t="str">
            <v>SO</v>
          </cell>
          <cell r="P39" t="str">
            <v>SO</v>
          </cell>
        </row>
        <row r="40">
          <cell r="O40" t="str">
            <v>FG</v>
          </cell>
          <cell r="P40" t="str">
            <v>Free Games</v>
          </cell>
        </row>
        <row r="41">
          <cell r="O41" t="str">
            <v>X</v>
          </cell>
          <cell r="P41" t="str">
            <v>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C1E7F-1345-404A-BA8A-C4CCED8961E2}">
  <dimension ref="A1:F203"/>
  <sheetViews>
    <sheetView tabSelected="1" workbookViewId="0">
      <selection activeCell="G9" sqref="G9"/>
    </sheetView>
  </sheetViews>
  <sheetFormatPr defaultRowHeight="14"/>
  <cols>
    <col min="1" max="1" width="8.9140625" bestFit="1" customWidth="1"/>
    <col min="2" max="6" width="14.75" bestFit="1" customWidth="1"/>
  </cols>
  <sheetData>
    <row r="1" spans="1:6" ht="16.5">
      <c r="A1" s="3" t="s">
        <v>5</v>
      </c>
      <c r="B1" s="3"/>
      <c r="C1" s="3"/>
      <c r="D1" s="3"/>
      <c r="E1" s="3"/>
      <c r="F1" s="3"/>
    </row>
    <row r="2" spans="1:6" ht="15.5">
      <c r="A2" s="4" t="s">
        <v>6</v>
      </c>
      <c r="B2" s="5" t="s">
        <v>0</v>
      </c>
      <c r="C2" s="5" t="s">
        <v>1</v>
      </c>
      <c r="D2" s="5" t="s">
        <v>2</v>
      </c>
      <c r="E2" s="5" t="s">
        <v>3</v>
      </c>
      <c r="F2" s="6" t="s">
        <v>4</v>
      </c>
    </row>
    <row r="3" spans="1:6" ht="15.5">
      <c r="A3" s="7">
        <v>0</v>
      </c>
      <c r="B3" s="1" t="str" cm="1">
        <f t="array" ref="B3">_xlfn.XLOOKUP("CC",[1]Print_Summary!$O$23:$O$41,[1]Print_Summary!$P$23:$P$41)</f>
        <v>Wealth Pot</v>
      </c>
      <c r="C3" s="1" t="str" cm="1">
        <f t="array" ref="C3">_xlfn.XLOOKUP("CC",[1]Print_Summary!$O$23:$O$41,[1]Print_Summary!$P$23:$P$41)</f>
        <v>Wealth Pot</v>
      </c>
      <c r="D3" s="1" t="str" cm="1">
        <f t="array" ref="D3">_xlfn.XLOOKUP("AA",[1]Print_Summary!$O$23:$O$41,[1]Print_Summary!$P$23:$P$41)</f>
        <v>Ox</v>
      </c>
      <c r="E3" s="1" t="str" cm="1">
        <f t="array" ref="E3">_xlfn.XLOOKUP("EE",[1]Print_Summary!$O$23:$O$41,[1]Print_Summary!$P$23:$P$41)</f>
        <v>Ace</v>
      </c>
      <c r="F3" s="2" t="str" cm="1">
        <f t="array" ref="F3">_xlfn.XLOOKUP("DD",[1]Print_Summary!$O$23:$O$41,[1]Print_Summary!$P$23:$P$41)</f>
        <v>Arm Band</v>
      </c>
    </row>
    <row r="4" spans="1:6" ht="15.5">
      <c r="A4" s="7">
        <v>1</v>
      </c>
      <c r="B4" s="1" t="str" cm="1">
        <f t="array" ref="B4">_xlfn.XLOOKUP("CC",[1]Print_Summary!$O$23:$O$41,[1]Print_Summary!$P$23:$P$41)</f>
        <v>Wealth Pot</v>
      </c>
      <c r="C4" s="1" t="str" cm="1">
        <f t="array" ref="C4">_xlfn.XLOOKUP("CC",[1]Print_Summary!$O$23:$O$41,[1]Print_Summary!$P$23:$P$41)</f>
        <v>Wealth Pot</v>
      </c>
      <c r="D4" s="1" t="str" cm="1">
        <f t="array" ref="D4">_xlfn.XLOOKUP("AA",[1]Print_Summary!$O$23:$O$41,[1]Print_Summary!$P$23:$P$41)</f>
        <v>Ox</v>
      </c>
      <c r="E4" s="1" t="str" cm="1">
        <f t="array" ref="E4">_xlfn.XLOOKUP("SF",[1]Print_Summary!$O$23:$O$41,[1]Print_Summary!$P$23:$P$41)</f>
        <v>Orb (Splittable)</v>
      </c>
      <c r="F4" s="2" t="str" cm="1">
        <f t="array" ref="F4">_xlfn.XLOOKUP("HH",[1]Print_Summary!$O$23:$O$41,[1]Print_Summary!$P$23:$P$41)</f>
        <v>Jack</v>
      </c>
    </row>
    <row r="5" spans="1:6" ht="15.5">
      <c r="A5" s="7">
        <v>2</v>
      </c>
      <c r="B5" s="1" t="str" cm="1">
        <f t="array" ref="B5">_xlfn.XLOOKUP("FF",[1]Print_Summary!$O$23:$O$41,[1]Print_Summary!$P$23:$P$41)</f>
        <v>King</v>
      </c>
      <c r="C5" s="1" t="str" cm="1">
        <f t="array" ref="C5">_xlfn.XLOOKUP("EE",[1]Print_Summary!$O$23:$O$41,[1]Print_Summary!$P$23:$P$41)</f>
        <v>Ace</v>
      </c>
      <c r="D5" s="1" t="str" cm="1">
        <f t="array" ref="D5">_xlfn.XLOOKUP("EE",[1]Print_Summary!$O$23:$O$41,[1]Print_Summary!$P$23:$P$41)</f>
        <v>Ace</v>
      </c>
      <c r="E5" s="1" t="str" cm="1">
        <f t="array" ref="E5">_xlfn.XLOOKUP("GG",[1]Print_Summary!$O$23:$O$41,[1]Print_Summary!$P$23:$P$41)</f>
        <v>Queen</v>
      </c>
      <c r="F5" s="2" t="str" cm="1">
        <f t="array" ref="F5">_xlfn.XLOOKUP("SF",[1]Print_Summary!$O$23:$O$41,[1]Print_Summary!$P$23:$P$41)</f>
        <v>Orb (Splittable)</v>
      </c>
    </row>
    <row r="6" spans="1:6" ht="15.5">
      <c r="A6" s="7">
        <v>3</v>
      </c>
      <c r="B6" s="1" t="str" cm="1">
        <f t="array" ref="B6">_xlfn.XLOOKUP("SF",[1]Print_Summary!$O$23:$O$41,[1]Print_Summary!$P$23:$P$41)</f>
        <v>Orb (Splittable)</v>
      </c>
      <c r="C6" s="1" t="str" cm="1">
        <f t="array" ref="C6">_xlfn.XLOOKUP("WC",[1]Print_Summary!$O$23:$O$41,[1]Print_Summary!$P$23:$P$41)</f>
        <v>WILD</v>
      </c>
      <c r="D6" s="1" t="str" cm="1">
        <f t="array" ref="D6">_xlfn.XLOOKUP("CC",[1]Print_Summary!$O$23:$O$41,[1]Print_Summary!$P$23:$P$41)</f>
        <v>Wealth Pot</v>
      </c>
      <c r="E6" s="1" t="str" cm="1">
        <f t="array" ref="E6">_xlfn.XLOOKUP("BB",[1]Print_Summary!$O$23:$O$41,[1]Print_Summary!$P$23:$P$41)</f>
        <v>Pisces</v>
      </c>
      <c r="F6" s="2" t="str" cm="1">
        <f t="array" ref="F6">_xlfn.XLOOKUP("FF",[1]Print_Summary!$O$23:$O$41,[1]Print_Summary!$P$23:$P$41)</f>
        <v>King</v>
      </c>
    </row>
    <row r="7" spans="1:6" ht="15.5">
      <c r="A7" s="7">
        <v>4</v>
      </c>
      <c r="B7" s="1" t="str" cm="1">
        <f t="array" ref="B7">_xlfn.XLOOKUP("HH",[1]Print_Summary!$O$23:$O$41,[1]Print_Summary!$P$23:$P$41)</f>
        <v>Jack</v>
      </c>
      <c r="C7" s="1" t="str" cm="1">
        <f t="array" ref="C7">_xlfn.XLOOKUP("GG",[1]Print_Summary!$O$23:$O$41,[1]Print_Summary!$P$23:$P$41)</f>
        <v>Queen</v>
      </c>
      <c r="D7" s="1" t="str" cm="1">
        <f t="array" ref="D7">_xlfn.XLOOKUP("HH",[1]Print_Summary!$O$23:$O$41,[1]Print_Summary!$P$23:$P$41)</f>
        <v>Jack</v>
      </c>
      <c r="E7" s="1" t="str" cm="1">
        <f t="array" ref="E7">_xlfn.XLOOKUP("BB",[1]Print_Summary!$O$23:$O$41,[1]Print_Summary!$P$23:$P$41)</f>
        <v>Pisces</v>
      </c>
      <c r="F7" s="2" t="str" cm="1">
        <f t="array" ref="F7">_xlfn.XLOOKUP("CC",[1]Print_Summary!$O$23:$O$41,[1]Print_Summary!$P$23:$P$41)</f>
        <v>Wealth Pot</v>
      </c>
    </row>
    <row r="8" spans="1:6" ht="15.5">
      <c r="A8" s="7">
        <v>5</v>
      </c>
      <c r="B8" s="1" t="str" cm="1">
        <f t="array" ref="B8">_xlfn.XLOOKUP("HH",[1]Print_Summary!$O$23:$O$41,[1]Print_Summary!$P$23:$P$41)</f>
        <v>Jack</v>
      </c>
      <c r="C8" s="1" t="str" cm="1">
        <f t="array" ref="C8">_xlfn.XLOOKUP("AA",[1]Print_Summary!$O$23:$O$41,[1]Print_Summary!$P$23:$P$41)</f>
        <v>Ox</v>
      </c>
      <c r="D8" s="1" t="str" cm="1">
        <f t="array" ref="D8">_xlfn.XLOOKUP("WC",[1]Print_Summary!$O$23:$O$41,[1]Print_Summary!$P$23:$P$41)</f>
        <v>WILD</v>
      </c>
      <c r="E8" s="1" t="str" cm="1">
        <f t="array" ref="E8">_xlfn.XLOOKUP("SC",[1]Print_Summary!$O$23:$O$41,[1]Print_Summary!$P$23:$P$41)</f>
        <v>Orb</v>
      </c>
      <c r="F8" s="2" t="str" cm="1">
        <f t="array" ref="F8">_xlfn.XLOOKUP("BB",[1]Print_Summary!$O$23:$O$41,[1]Print_Summary!$P$23:$P$41)</f>
        <v>Pisces</v>
      </c>
    </row>
    <row r="9" spans="1:6" ht="15.5">
      <c r="A9" s="7">
        <v>6</v>
      </c>
      <c r="B9" s="1" t="str" cm="1">
        <f t="array" ref="B9">_xlfn.XLOOKUP("CC",[1]Print_Summary!$O$23:$O$41,[1]Print_Summary!$P$23:$P$41)</f>
        <v>Wealth Pot</v>
      </c>
      <c r="C9" s="1" t="str" cm="1">
        <f t="array" ref="C9">_xlfn.XLOOKUP("SF",[1]Print_Summary!$O$23:$O$41,[1]Print_Summary!$P$23:$P$41)</f>
        <v>Orb (Splittable)</v>
      </c>
      <c r="D9" s="1" t="str" cm="1">
        <f t="array" ref="D9">_xlfn.XLOOKUP("FF",[1]Print_Summary!$O$23:$O$41,[1]Print_Summary!$P$23:$P$41)</f>
        <v>King</v>
      </c>
      <c r="E9" s="1" t="str" cm="1">
        <f t="array" ref="E9">_xlfn.XLOOKUP("SC",[1]Print_Summary!$O$23:$O$41,[1]Print_Summary!$P$23:$P$41)</f>
        <v>Orb</v>
      </c>
      <c r="F9" s="2" t="str" cm="1">
        <f t="array" ref="F9">_xlfn.XLOOKUP("GG",[1]Print_Summary!$O$23:$O$41,[1]Print_Summary!$P$23:$P$41)</f>
        <v>Queen</v>
      </c>
    </row>
    <row r="10" spans="1:6" ht="15.5">
      <c r="A10" s="7">
        <v>7</v>
      </c>
      <c r="B10" s="1" t="str" cm="1">
        <f t="array" ref="B10">_xlfn.XLOOKUP("EE",[1]Print_Summary!$O$23:$O$41,[1]Print_Summary!$P$23:$P$41)</f>
        <v>Ace</v>
      </c>
      <c r="C10" s="1" t="str" cm="1">
        <f t="array" ref="C10">_xlfn.XLOOKUP("EE",[1]Print_Summary!$O$23:$O$41,[1]Print_Summary!$P$23:$P$41)</f>
        <v>Ace</v>
      </c>
      <c r="D10" s="1" t="str" cm="1">
        <f t="array" ref="D10">_xlfn.XLOOKUP("DD",[1]Print_Summary!$O$23:$O$41,[1]Print_Summary!$P$23:$P$41)</f>
        <v>Arm Band</v>
      </c>
      <c r="E10" s="1" t="str" cm="1">
        <f t="array" ref="E10">_xlfn.XLOOKUP("BB",[1]Print_Summary!$O$23:$O$41,[1]Print_Summary!$P$23:$P$41)</f>
        <v>Pisces</v>
      </c>
      <c r="F10" s="2" t="str" cm="1">
        <f t="array" ref="F10">_xlfn.XLOOKUP("DD",[1]Print_Summary!$O$23:$O$41,[1]Print_Summary!$P$23:$P$41)</f>
        <v>Arm Band</v>
      </c>
    </row>
    <row r="11" spans="1:6" ht="15.5">
      <c r="A11" s="7">
        <v>8</v>
      </c>
      <c r="B11" s="1" t="str" cm="1">
        <f t="array" ref="B11">_xlfn.XLOOKUP("DD",[1]Print_Summary!$O$23:$O$41,[1]Print_Summary!$P$23:$P$41)</f>
        <v>Arm Band</v>
      </c>
      <c r="C11" s="1" t="str" cm="1">
        <f t="array" ref="C11">_xlfn.XLOOKUP("BB",[1]Print_Summary!$O$23:$O$41,[1]Print_Summary!$P$23:$P$41)</f>
        <v>Pisces</v>
      </c>
      <c r="D11" s="1" t="str" cm="1">
        <f t="array" ref="D11">_xlfn.XLOOKUP("DD",[1]Print_Summary!$O$23:$O$41,[1]Print_Summary!$P$23:$P$41)</f>
        <v>Arm Band</v>
      </c>
      <c r="E11" s="1" t="str" cm="1">
        <f t="array" ref="E11">_xlfn.XLOOKUP("HH",[1]Print_Summary!$O$23:$O$41,[1]Print_Summary!$P$23:$P$41)</f>
        <v>Jack</v>
      </c>
      <c r="F11" s="2" t="str" cm="1">
        <f t="array" ref="F11">_xlfn.XLOOKUP("WC",[1]Print_Summary!$O$23:$O$41,[1]Print_Summary!$P$23:$P$41)</f>
        <v>WILD</v>
      </c>
    </row>
    <row r="12" spans="1:6" ht="15.5">
      <c r="A12" s="7">
        <v>9</v>
      </c>
      <c r="B12" s="1" t="str" cm="1">
        <f t="array" ref="B12">_xlfn.XLOOKUP("FF",[1]Print_Summary!$O$23:$O$41,[1]Print_Summary!$P$23:$P$41)</f>
        <v>King</v>
      </c>
      <c r="C12" s="1" t="str" cm="1">
        <f t="array" ref="C12">_xlfn.XLOOKUP("GG",[1]Print_Summary!$O$23:$O$41,[1]Print_Summary!$P$23:$P$41)</f>
        <v>Queen</v>
      </c>
      <c r="D12" s="1" t="str" cm="1">
        <f t="array" ref="D12">_xlfn.XLOOKUP("GG",[1]Print_Summary!$O$23:$O$41,[1]Print_Summary!$P$23:$P$41)</f>
        <v>Queen</v>
      </c>
      <c r="E12" s="1" t="str" cm="1">
        <f t="array" ref="E12">_xlfn.XLOOKUP("EE",[1]Print_Summary!$O$23:$O$41,[1]Print_Summary!$P$23:$P$41)</f>
        <v>Ace</v>
      </c>
      <c r="F12" s="2" t="str" cm="1">
        <f t="array" ref="F12">_xlfn.XLOOKUP("AA",[1]Print_Summary!$O$23:$O$41,[1]Print_Summary!$P$23:$P$41)</f>
        <v>Ox</v>
      </c>
    </row>
    <row r="13" spans="1:6" ht="15.5">
      <c r="A13" s="7">
        <v>10</v>
      </c>
      <c r="B13" s="1" t="str" cm="1">
        <f t="array" ref="B13">_xlfn.XLOOKUP("MS",[1]Print_Summary!$O$23:$O$41,[1]Print_Summary!$P$23:$P$41)</f>
        <v>Mystery1</v>
      </c>
      <c r="C13" s="1" t="str" cm="1">
        <f t="array" ref="C13">_xlfn.XLOOKUP("EE",[1]Print_Summary!$O$23:$O$41,[1]Print_Summary!$P$23:$P$41)</f>
        <v>Ace</v>
      </c>
      <c r="D13" s="1" t="str" cm="1">
        <f t="array" ref="D13">_xlfn.XLOOKUP("SC",[1]Print_Summary!$O$23:$O$41,[1]Print_Summary!$P$23:$P$41)</f>
        <v>Orb</v>
      </c>
      <c r="E13" s="1" t="str" cm="1">
        <f t="array" ref="E13">_xlfn.XLOOKUP("GG",[1]Print_Summary!$O$23:$O$41,[1]Print_Summary!$P$23:$P$41)</f>
        <v>Queen</v>
      </c>
      <c r="F13" s="2" t="str" cm="1">
        <f t="array" ref="F13">_xlfn.XLOOKUP("AA",[1]Print_Summary!$O$23:$O$41,[1]Print_Summary!$P$23:$P$41)</f>
        <v>Ox</v>
      </c>
    </row>
    <row r="14" spans="1:6" ht="15.5">
      <c r="A14" s="7">
        <v>11</v>
      </c>
      <c r="B14" s="1" t="str" cm="1">
        <f t="array" ref="B14">_xlfn.XLOOKUP("MS",[1]Print_Summary!$O$23:$O$41,[1]Print_Summary!$P$23:$P$41)</f>
        <v>Mystery1</v>
      </c>
      <c r="C14" s="1" t="str" cm="1">
        <f t="array" ref="C14">_xlfn.XLOOKUP("HH",[1]Print_Summary!$O$23:$O$41,[1]Print_Summary!$P$23:$P$41)</f>
        <v>Jack</v>
      </c>
      <c r="D14" s="1" t="str" cm="1">
        <f t="array" ref="D14">_xlfn.XLOOKUP("SF",[1]Print_Summary!$O$23:$O$41,[1]Print_Summary!$P$23:$P$41)</f>
        <v>Orb (Splittable)</v>
      </c>
      <c r="E14" s="1" t="str" cm="1">
        <f t="array" ref="E14">_xlfn.XLOOKUP("BB",[1]Print_Summary!$O$23:$O$41,[1]Print_Summary!$P$23:$P$41)</f>
        <v>Pisces</v>
      </c>
      <c r="F14" s="2" t="str" cm="1">
        <f t="array" ref="F14">_xlfn.XLOOKUP("FF",[1]Print_Summary!$O$23:$O$41,[1]Print_Summary!$P$23:$P$41)</f>
        <v>King</v>
      </c>
    </row>
    <row r="15" spans="1:6" ht="15.5">
      <c r="A15" s="7">
        <v>12</v>
      </c>
      <c r="B15" s="1" t="str" cm="1">
        <f t="array" ref="B15">_xlfn.XLOOKUP("MS",[1]Print_Summary!$O$23:$O$41,[1]Print_Summary!$P$23:$P$41)</f>
        <v>Mystery1</v>
      </c>
      <c r="C15" s="1" t="str" cm="1">
        <f t="array" ref="C15">_xlfn.XLOOKUP("MS",[1]Print_Summary!$O$23:$O$41,[1]Print_Summary!$P$23:$P$41)</f>
        <v>Mystery1</v>
      </c>
      <c r="D15" s="1" t="str" cm="1">
        <f t="array" ref="D15">_xlfn.XLOOKUP("HH",[1]Print_Summary!$O$23:$O$41,[1]Print_Summary!$P$23:$P$41)</f>
        <v>Jack</v>
      </c>
      <c r="E15" s="1" t="str" cm="1">
        <f t="array" ref="E15">_xlfn.XLOOKUP("SC",[1]Print_Summary!$O$23:$O$41,[1]Print_Summary!$P$23:$P$41)</f>
        <v>Orb</v>
      </c>
      <c r="F15" s="2" t="str" cm="1">
        <f t="array" ref="F15">_xlfn.XLOOKUP("BB",[1]Print_Summary!$O$23:$O$41,[1]Print_Summary!$P$23:$P$41)</f>
        <v>Pisces</v>
      </c>
    </row>
    <row r="16" spans="1:6" ht="15.5">
      <c r="A16" s="7">
        <v>13</v>
      </c>
      <c r="B16" s="1" t="str" cm="1">
        <f t="array" ref="B16">_xlfn.XLOOKUP("MS",[1]Print_Summary!$O$23:$O$41,[1]Print_Summary!$P$23:$P$41)</f>
        <v>Mystery1</v>
      </c>
      <c r="C16" s="1" t="str" cm="1">
        <f t="array" ref="C16">_xlfn.XLOOKUP("MS",[1]Print_Summary!$O$23:$O$41,[1]Print_Summary!$P$23:$P$41)</f>
        <v>Mystery1</v>
      </c>
      <c r="D16" s="1" t="str" cm="1">
        <f t="array" ref="D16">_xlfn.XLOOKUP("BB",[1]Print_Summary!$O$23:$O$41,[1]Print_Summary!$P$23:$P$41)</f>
        <v>Pisces</v>
      </c>
      <c r="E16" s="1" t="str" cm="1">
        <f t="array" ref="E16">_xlfn.XLOOKUP("FF",[1]Print_Summary!$O$23:$O$41,[1]Print_Summary!$P$23:$P$41)</f>
        <v>King</v>
      </c>
      <c r="F16" s="2" t="str" cm="1">
        <f t="array" ref="F16">_xlfn.XLOOKUP("GG",[1]Print_Summary!$O$23:$O$41,[1]Print_Summary!$P$23:$P$41)</f>
        <v>Queen</v>
      </c>
    </row>
    <row r="17" spans="1:6" ht="15.5">
      <c r="A17" s="7">
        <v>14</v>
      </c>
      <c r="B17" s="1" t="str" cm="1">
        <f t="array" ref="B17">_xlfn.XLOOKUP("MC",[1]Print_Summary!$O$23:$O$41,[1]Print_Summary!$P$23:$P$41)</f>
        <v>Mystery (Orb)</v>
      </c>
      <c r="C17" s="1" t="str" cm="1">
        <f t="array" ref="C17">_xlfn.XLOOKUP("MC",[1]Print_Summary!$O$23:$O$41,[1]Print_Summary!$P$23:$P$41)</f>
        <v>Mystery (Orb)</v>
      </c>
      <c r="D17" s="1" t="str" cm="1">
        <f t="array" ref="D17">_xlfn.XLOOKUP("JJ",[1]Print_Summary!$O$23:$O$41,[1]Print_Summary!$P$23:$P$41)</f>
        <v>Ten</v>
      </c>
      <c r="E17" s="1" t="str" cm="1">
        <f t="array" ref="E17">_xlfn.XLOOKUP("AA",[1]Print_Summary!$O$23:$O$41,[1]Print_Summary!$P$23:$P$41)</f>
        <v>Ox</v>
      </c>
      <c r="F17" s="2" t="str" cm="1">
        <f t="array" ref="F17">_xlfn.XLOOKUP("JJ",[1]Print_Summary!$O$23:$O$41,[1]Print_Summary!$P$23:$P$41)</f>
        <v>Ten</v>
      </c>
    </row>
    <row r="18" spans="1:6" ht="15.5">
      <c r="A18" s="7">
        <v>15</v>
      </c>
      <c r="B18" s="1" t="str" cm="1">
        <f t="array" ref="B18">_xlfn.XLOOKUP("MC",[1]Print_Summary!$O$23:$O$41,[1]Print_Summary!$P$23:$P$41)</f>
        <v>Mystery (Orb)</v>
      </c>
      <c r="C18" s="1" t="str" cm="1">
        <f t="array" ref="C18">_xlfn.XLOOKUP("MC",[1]Print_Summary!$O$23:$O$41,[1]Print_Summary!$P$23:$P$41)</f>
        <v>Mystery (Orb)</v>
      </c>
      <c r="D18" s="1" t="str" cm="1">
        <f t="array" ref="D18">_xlfn.XLOOKUP("CC",[1]Print_Summary!$O$23:$O$41,[1]Print_Summary!$P$23:$P$41)</f>
        <v>Wealth Pot</v>
      </c>
      <c r="E18" s="1" t="str" cm="1">
        <f t="array" ref="E18">_xlfn.XLOOKUP("AA",[1]Print_Summary!$O$23:$O$41,[1]Print_Summary!$P$23:$P$41)</f>
        <v>Ox</v>
      </c>
      <c r="F18" s="2" t="str" cm="1">
        <f t="array" ref="F18">_xlfn.XLOOKUP("SC",[1]Print_Summary!$O$23:$O$41,[1]Print_Summary!$P$23:$P$41)</f>
        <v>Orb</v>
      </c>
    </row>
    <row r="19" spans="1:6" ht="15.5">
      <c r="A19" s="7">
        <v>16</v>
      </c>
      <c r="B19" s="1" t="str" cm="1">
        <f t="array" ref="B19">_xlfn.XLOOKUP("MC",[1]Print_Summary!$O$23:$O$41,[1]Print_Summary!$P$23:$P$41)</f>
        <v>Mystery (Orb)</v>
      </c>
      <c r="C19" s="1" t="str" cm="1">
        <f t="array" ref="C19">_xlfn.XLOOKUP("MC",[1]Print_Summary!$O$23:$O$41,[1]Print_Summary!$P$23:$P$41)</f>
        <v>Mystery (Orb)</v>
      </c>
      <c r="D19" s="1" t="str" cm="1">
        <f t="array" ref="D19">_xlfn.XLOOKUP("FF",[1]Print_Summary!$O$23:$O$41,[1]Print_Summary!$P$23:$P$41)</f>
        <v>King</v>
      </c>
      <c r="E19" s="1" t="str" cm="1">
        <f t="array" ref="E19">_xlfn.XLOOKUP("EE",[1]Print_Summary!$O$23:$O$41,[1]Print_Summary!$P$23:$P$41)</f>
        <v>Ace</v>
      </c>
      <c r="F19" s="2" t="str" cm="1">
        <f t="array" ref="F19">_xlfn.XLOOKUP("JJ",[1]Print_Summary!$O$23:$O$41,[1]Print_Summary!$P$23:$P$41)</f>
        <v>Ten</v>
      </c>
    </row>
    <row r="20" spans="1:6" ht="15.5">
      <c r="A20" s="7">
        <v>17</v>
      </c>
      <c r="B20" s="1" t="str" cm="1">
        <f t="array" ref="B20">_xlfn.XLOOKUP("MS",[1]Print_Summary!$O$23:$O$41,[1]Print_Summary!$P$23:$P$41)</f>
        <v>Mystery1</v>
      </c>
      <c r="C20" s="1" t="str" cm="1">
        <f t="array" ref="C20">_xlfn.XLOOKUP("MS",[1]Print_Summary!$O$23:$O$41,[1]Print_Summary!$P$23:$P$41)</f>
        <v>Mystery1</v>
      </c>
      <c r="D20" s="1" t="str" cm="1">
        <f t="array" ref="D20">_xlfn.XLOOKUP("FG",[1]Print_Summary!$O$23:$O$41,[1]Print_Summary!$P$23:$P$41)</f>
        <v>Free Games</v>
      </c>
      <c r="E20" s="1" t="str" cm="1">
        <f t="array" ref="E20">_xlfn.XLOOKUP("CC",[1]Print_Summary!$O$23:$O$41,[1]Print_Summary!$P$23:$P$41)</f>
        <v>Wealth Pot</v>
      </c>
      <c r="F20" s="2" t="str" cm="1">
        <f t="array" ref="F20">_xlfn.XLOOKUP("CC",[1]Print_Summary!$O$23:$O$41,[1]Print_Summary!$P$23:$P$41)</f>
        <v>Wealth Pot</v>
      </c>
    </row>
    <row r="21" spans="1:6" ht="15.5">
      <c r="A21" s="7">
        <v>18</v>
      </c>
      <c r="B21" s="1" t="str" cm="1">
        <f t="array" ref="B21">_xlfn.XLOOKUP("MS",[1]Print_Summary!$O$23:$O$41,[1]Print_Summary!$P$23:$P$41)</f>
        <v>Mystery1</v>
      </c>
      <c r="C21" s="1" t="str" cm="1">
        <f t="array" ref="C21">_xlfn.XLOOKUP("MS",[1]Print_Summary!$O$23:$O$41,[1]Print_Summary!$P$23:$P$41)</f>
        <v>Mystery1</v>
      </c>
      <c r="D21" s="1" t="str" cm="1">
        <f t="array" ref="D21">_xlfn.XLOOKUP("GG",[1]Print_Summary!$O$23:$O$41,[1]Print_Summary!$P$23:$P$41)</f>
        <v>Queen</v>
      </c>
      <c r="E21" s="1" t="str" cm="1">
        <f t="array" ref="E21">_xlfn.XLOOKUP("CC",[1]Print_Summary!$O$23:$O$41,[1]Print_Summary!$P$23:$P$41)</f>
        <v>Wealth Pot</v>
      </c>
      <c r="F21" s="2" t="str" cm="1">
        <f t="array" ref="F21">_xlfn.XLOOKUP("CC",[1]Print_Summary!$O$23:$O$41,[1]Print_Summary!$P$23:$P$41)</f>
        <v>Wealth Pot</v>
      </c>
    </row>
    <row r="22" spans="1:6" ht="15.5">
      <c r="A22" s="7">
        <v>19</v>
      </c>
      <c r="B22" s="1" t="str" cm="1">
        <f t="array" ref="B22">_xlfn.XLOOKUP("MS",[1]Print_Summary!$O$23:$O$41,[1]Print_Summary!$P$23:$P$41)</f>
        <v>Mystery1</v>
      </c>
      <c r="C22" s="1" t="str" cm="1">
        <f t="array" ref="C22">_xlfn.XLOOKUP("MS",[1]Print_Summary!$O$23:$O$41,[1]Print_Summary!$P$23:$P$41)</f>
        <v>Mystery1</v>
      </c>
      <c r="D22" s="1" t="str" cm="1">
        <f t="array" ref="D22">_xlfn.XLOOKUP("BB",[1]Print_Summary!$O$23:$O$41,[1]Print_Summary!$P$23:$P$41)</f>
        <v>Pisces</v>
      </c>
      <c r="E22" s="1" t="str" cm="1">
        <f t="array" ref="E22">_xlfn.XLOOKUP("HH",[1]Print_Summary!$O$23:$O$41,[1]Print_Summary!$P$23:$P$41)</f>
        <v>Jack</v>
      </c>
      <c r="F22" s="2" t="str" cm="1">
        <f t="array" ref="F22">_xlfn.XLOOKUP("GG",[1]Print_Summary!$O$23:$O$41,[1]Print_Summary!$P$23:$P$41)</f>
        <v>Queen</v>
      </c>
    </row>
    <row r="23" spans="1:6" ht="15.5">
      <c r="A23" s="7">
        <v>20</v>
      </c>
      <c r="B23" s="1" t="str" cm="1">
        <f t="array" ref="B23">_xlfn.XLOOKUP("MS",[1]Print_Summary!$O$23:$O$41,[1]Print_Summary!$P$23:$P$41)</f>
        <v>Mystery1</v>
      </c>
      <c r="C23" s="1" t="str" cm="1">
        <f t="array" ref="C23">_xlfn.XLOOKUP("MS",[1]Print_Summary!$O$23:$O$41,[1]Print_Summary!$P$23:$P$41)</f>
        <v>Mystery1</v>
      </c>
      <c r="D23" s="1" t="str" cm="1">
        <f t="array" ref="D23">_xlfn.XLOOKUP("BB",[1]Print_Summary!$O$23:$O$41,[1]Print_Summary!$P$23:$P$41)</f>
        <v>Pisces</v>
      </c>
      <c r="E23" s="1" t="str" cm="1">
        <f t="array" ref="E23">_xlfn.XLOOKUP("GG",[1]Print_Summary!$O$23:$O$41,[1]Print_Summary!$P$23:$P$41)</f>
        <v>Queen</v>
      </c>
      <c r="F23" s="2" t="str" cm="1">
        <f t="array" ref="F23">_xlfn.XLOOKUP("BB",[1]Print_Summary!$O$23:$O$41,[1]Print_Summary!$P$23:$P$41)</f>
        <v>Pisces</v>
      </c>
    </row>
    <row r="24" spans="1:6" ht="15.5">
      <c r="A24" s="7">
        <v>21</v>
      </c>
      <c r="B24" s="1" t="str" cm="1">
        <f t="array" ref="B24">_xlfn.XLOOKUP("MS",[1]Print_Summary!$O$23:$O$41,[1]Print_Summary!$P$23:$P$41)</f>
        <v>Mystery1</v>
      </c>
      <c r="C24" s="1" t="str" cm="1">
        <f t="array" ref="C24">_xlfn.XLOOKUP("MS",[1]Print_Summary!$O$23:$O$41,[1]Print_Summary!$P$23:$P$41)</f>
        <v>Mystery1</v>
      </c>
      <c r="D24" s="1" t="str" cm="1">
        <f t="array" ref="D24">_xlfn.XLOOKUP("EE",[1]Print_Summary!$O$23:$O$41,[1]Print_Summary!$P$23:$P$41)</f>
        <v>Ace</v>
      </c>
      <c r="E24" s="1" t="str" cm="1">
        <f t="array" ref="E24">_xlfn.XLOOKUP("JJ",[1]Print_Summary!$O$23:$O$41,[1]Print_Summary!$P$23:$P$41)</f>
        <v>Ten</v>
      </c>
      <c r="F24" s="2" t="str" cm="1">
        <f t="array" ref="F24">_xlfn.XLOOKUP("BB",[1]Print_Summary!$O$23:$O$41,[1]Print_Summary!$P$23:$P$41)</f>
        <v>Pisces</v>
      </c>
    </row>
    <row r="25" spans="1:6" ht="15.5">
      <c r="A25" s="7">
        <v>22</v>
      </c>
      <c r="B25" s="1" t="str" cm="1">
        <f t="array" ref="B25">_xlfn.XLOOKUP("MS",[1]Print_Summary!$O$23:$O$41,[1]Print_Summary!$P$23:$P$41)</f>
        <v>Mystery1</v>
      </c>
      <c r="C25" s="1" t="str" cm="1">
        <f t="array" ref="C25">_xlfn.XLOOKUP("MS",[1]Print_Summary!$O$23:$O$41,[1]Print_Summary!$P$23:$P$41)</f>
        <v>Mystery1</v>
      </c>
      <c r="D25" s="1" t="str" cm="1">
        <f t="array" ref="D25">_xlfn.XLOOKUP("WC",[1]Print_Summary!$O$23:$O$41,[1]Print_Summary!$P$23:$P$41)</f>
        <v>WILD</v>
      </c>
      <c r="E25" s="1" t="str" cm="1">
        <f t="array" ref="E25">_xlfn.XLOOKUP("DD",[1]Print_Summary!$O$23:$O$41,[1]Print_Summary!$P$23:$P$41)</f>
        <v>Arm Band</v>
      </c>
      <c r="F25" s="2" t="str" cm="1">
        <f t="array" ref="F25">_xlfn.XLOOKUP("JJ",[1]Print_Summary!$O$23:$O$41,[1]Print_Summary!$P$23:$P$41)</f>
        <v>Ten</v>
      </c>
    </row>
    <row r="26" spans="1:6" ht="15.5">
      <c r="A26" s="7">
        <v>23</v>
      </c>
      <c r="B26" s="1" t="str" cm="1">
        <f t="array" ref="B26">_xlfn.XLOOKUP("MS",[1]Print_Summary!$O$23:$O$41,[1]Print_Summary!$P$23:$P$41)</f>
        <v>Mystery1</v>
      </c>
      <c r="C26" s="1" t="str" cm="1">
        <f t="array" ref="C26">_xlfn.XLOOKUP("MS",[1]Print_Summary!$O$23:$O$41,[1]Print_Summary!$P$23:$P$41)</f>
        <v>Mystery1</v>
      </c>
      <c r="D26" s="1" t="str" cm="1">
        <f t="array" ref="D26">_xlfn.XLOOKUP("HH",[1]Print_Summary!$O$23:$O$41,[1]Print_Summary!$P$23:$P$41)</f>
        <v>Jack</v>
      </c>
      <c r="E26" s="1" t="str" cm="1">
        <f t="array" ref="E26">_xlfn.XLOOKUP("HH",[1]Print_Summary!$O$23:$O$41,[1]Print_Summary!$P$23:$P$41)</f>
        <v>Jack</v>
      </c>
      <c r="F26" s="2" t="str" cm="1">
        <f t="array" ref="F26">_xlfn.XLOOKUP("FF",[1]Print_Summary!$O$23:$O$41,[1]Print_Summary!$P$23:$P$41)</f>
        <v>King</v>
      </c>
    </row>
    <row r="27" spans="1:6" ht="15.5">
      <c r="A27" s="7">
        <v>24</v>
      </c>
      <c r="B27" s="1" t="str" cm="1">
        <f t="array" ref="B27">_xlfn.XLOOKUP("BB",[1]Print_Summary!$O$23:$O$41,[1]Print_Summary!$P$23:$P$41)</f>
        <v>Pisces</v>
      </c>
      <c r="C27" s="1" t="str" cm="1">
        <f t="array" ref="C27">_xlfn.XLOOKUP("MS",[1]Print_Summary!$O$23:$O$41,[1]Print_Summary!$P$23:$P$41)</f>
        <v>Mystery1</v>
      </c>
      <c r="D27" s="1" t="str" cm="1">
        <f t="array" ref="D27">_xlfn.XLOOKUP("AA",[1]Print_Summary!$O$23:$O$41,[1]Print_Summary!$P$23:$P$41)</f>
        <v>Ox</v>
      </c>
      <c r="E27" s="1" t="str" cm="1">
        <f t="array" ref="E27">_xlfn.XLOOKUP("FF",[1]Print_Summary!$O$23:$O$41,[1]Print_Summary!$P$23:$P$41)</f>
        <v>King</v>
      </c>
      <c r="F27" s="2" t="str" cm="1">
        <f t="array" ref="F27">_xlfn.XLOOKUP("GG",[1]Print_Summary!$O$23:$O$41,[1]Print_Summary!$P$23:$P$41)</f>
        <v>Queen</v>
      </c>
    </row>
    <row r="28" spans="1:6" ht="15.5">
      <c r="A28" s="7">
        <v>25</v>
      </c>
      <c r="B28" s="1" t="str" cm="1">
        <f t="array" ref="B28">_xlfn.XLOOKUP("BB",[1]Print_Summary!$O$23:$O$41,[1]Print_Summary!$P$23:$P$41)</f>
        <v>Pisces</v>
      </c>
      <c r="C28" s="1" t="str" cm="1">
        <f t="array" ref="C28">_xlfn.XLOOKUP("MS",[1]Print_Summary!$O$23:$O$41,[1]Print_Summary!$P$23:$P$41)</f>
        <v>Mystery1</v>
      </c>
      <c r="D28" s="1" t="str" cm="1">
        <f t="array" ref="D28">_xlfn.XLOOKUP("AA",[1]Print_Summary!$O$23:$O$41,[1]Print_Summary!$P$23:$P$41)</f>
        <v>Ox</v>
      </c>
      <c r="E28" s="1" t="str" cm="1">
        <f t="array" ref="E28">_xlfn.XLOOKUP("AA",[1]Print_Summary!$O$23:$O$41,[1]Print_Summary!$P$23:$P$41)</f>
        <v>Ox</v>
      </c>
      <c r="F28" s="2" t="str" cm="1">
        <f t="array" ref="F28">_xlfn.XLOOKUP("EE",[1]Print_Summary!$O$23:$O$41,[1]Print_Summary!$P$23:$P$41)</f>
        <v>Ace</v>
      </c>
    </row>
    <row r="29" spans="1:6" ht="15.5">
      <c r="A29" s="7">
        <v>26</v>
      </c>
      <c r="B29" s="1" t="str" cm="1">
        <f t="array" ref="B29">_xlfn.XLOOKUP("DD",[1]Print_Summary!$O$23:$O$41,[1]Print_Summary!$P$23:$P$41)</f>
        <v>Arm Band</v>
      </c>
      <c r="C29" s="1" t="str" cm="1">
        <f t="array" ref="C29">_xlfn.XLOOKUP("FF",[1]Print_Summary!$O$23:$O$41,[1]Print_Summary!$P$23:$P$41)</f>
        <v>King</v>
      </c>
      <c r="D29" s="1" t="str" cm="1">
        <f t="array" ref="D29">_xlfn.XLOOKUP("GG",[1]Print_Summary!$O$23:$O$41,[1]Print_Summary!$P$23:$P$41)</f>
        <v>Queen</v>
      </c>
      <c r="E29" s="1" t="str" cm="1">
        <f t="array" ref="E29">_xlfn.XLOOKUP("JJ",[1]Print_Summary!$O$23:$O$41,[1]Print_Summary!$P$23:$P$41)</f>
        <v>Ten</v>
      </c>
      <c r="F29" s="2" t="str" cm="1">
        <f t="array" ref="F29">_xlfn.XLOOKUP("EE",[1]Print_Summary!$O$23:$O$41,[1]Print_Summary!$P$23:$P$41)</f>
        <v>Ace</v>
      </c>
    </row>
    <row r="30" spans="1:6" ht="15.5">
      <c r="A30" s="7">
        <v>27</v>
      </c>
      <c r="B30" s="1" t="str" cm="1">
        <f t="array" ref="B30">_xlfn.XLOOKUP("DD",[1]Print_Summary!$O$23:$O$41,[1]Print_Summary!$P$23:$P$41)</f>
        <v>Arm Band</v>
      </c>
      <c r="C30" s="1" t="str" cm="1">
        <f t="array" ref="C30">_xlfn.XLOOKUP("FF",[1]Print_Summary!$O$23:$O$41,[1]Print_Summary!$P$23:$P$41)</f>
        <v>King</v>
      </c>
      <c r="D30" s="1" t="str" cm="1">
        <f t="array" ref="D30">_xlfn.XLOOKUP("GG",[1]Print_Summary!$O$23:$O$41,[1]Print_Summary!$P$23:$P$41)</f>
        <v>Queen</v>
      </c>
      <c r="E30" s="1" t="str" cm="1">
        <f t="array" ref="E30">_xlfn.XLOOKUP("CC",[1]Print_Summary!$O$23:$O$41,[1]Print_Summary!$P$23:$P$41)</f>
        <v>Wealth Pot</v>
      </c>
      <c r="F30" s="2" t="str" cm="1">
        <f t="array" ref="F30">_xlfn.XLOOKUP("MS",[1]Print_Summary!$O$23:$O$41,[1]Print_Summary!$P$23:$P$41)</f>
        <v>Mystery1</v>
      </c>
    </row>
    <row r="31" spans="1:6" ht="15.5">
      <c r="A31" s="7">
        <v>28</v>
      </c>
      <c r="B31" s="1" t="str" cm="1">
        <f t="array" ref="B31">_xlfn.XLOOKUP("EE",[1]Print_Summary!$O$23:$O$41,[1]Print_Summary!$P$23:$P$41)</f>
        <v>Ace</v>
      </c>
      <c r="C31" s="1" t="str" cm="1">
        <f t="array" ref="C31">_xlfn.XLOOKUP("DD",[1]Print_Summary!$O$23:$O$41,[1]Print_Summary!$P$23:$P$41)</f>
        <v>Arm Band</v>
      </c>
      <c r="D31" s="1" t="str" cm="1">
        <f t="array" ref="D31">_xlfn.XLOOKUP("CC",[1]Print_Summary!$O$23:$O$41,[1]Print_Summary!$P$23:$P$41)</f>
        <v>Wealth Pot</v>
      </c>
      <c r="E31" s="1" t="str" cm="1">
        <f t="array" ref="E31">_xlfn.XLOOKUP("EE",[1]Print_Summary!$O$23:$O$41,[1]Print_Summary!$P$23:$P$41)</f>
        <v>Ace</v>
      </c>
      <c r="F31" s="2" t="str" cm="1">
        <f t="array" ref="F31">_xlfn.XLOOKUP("MS",[1]Print_Summary!$O$23:$O$41,[1]Print_Summary!$P$23:$P$41)</f>
        <v>Mystery1</v>
      </c>
    </row>
    <row r="32" spans="1:6" ht="15.5">
      <c r="A32" s="7">
        <v>29</v>
      </c>
      <c r="B32" s="1" t="str" cm="1">
        <f t="array" ref="B32">_xlfn.XLOOKUP("WC",[1]Print_Summary!$O$23:$O$41,[1]Print_Summary!$P$23:$P$41)</f>
        <v>WILD</v>
      </c>
      <c r="C32" s="1" t="str" cm="1">
        <f t="array" ref="C32">_xlfn.XLOOKUP("AA",[1]Print_Summary!$O$23:$O$41,[1]Print_Summary!$P$23:$P$41)</f>
        <v>Ox</v>
      </c>
      <c r="D32" s="1" t="str" cm="1">
        <f t="array" ref="D32">_xlfn.XLOOKUP("DD",[1]Print_Summary!$O$23:$O$41,[1]Print_Summary!$P$23:$P$41)</f>
        <v>Arm Band</v>
      </c>
      <c r="E32" s="1" t="str" cm="1">
        <f t="array" ref="E32">_xlfn.XLOOKUP("BB",[1]Print_Summary!$O$23:$O$41,[1]Print_Summary!$P$23:$P$41)</f>
        <v>Pisces</v>
      </c>
      <c r="F32" s="2" t="str" cm="1">
        <f t="array" ref="F32">_xlfn.XLOOKUP("MS",[1]Print_Summary!$O$23:$O$41,[1]Print_Summary!$P$23:$P$41)</f>
        <v>Mystery1</v>
      </c>
    </row>
    <row r="33" spans="1:6" ht="15.5">
      <c r="A33" s="7">
        <v>30</v>
      </c>
      <c r="B33" s="1" t="str" cm="1">
        <f t="array" ref="B33">_xlfn.XLOOKUP("FF",[1]Print_Summary!$O$23:$O$41,[1]Print_Summary!$P$23:$P$41)</f>
        <v>King</v>
      </c>
      <c r="C33" s="1" t="str" cm="1">
        <f t="array" ref="C33">_xlfn.XLOOKUP("HH",[1]Print_Summary!$O$23:$O$41,[1]Print_Summary!$P$23:$P$41)</f>
        <v>Jack</v>
      </c>
      <c r="D33" s="1" t="str" cm="1">
        <f t="array" ref="D33">_xlfn.XLOOKUP("HH",[1]Print_Summary!$O$23:$O$41,[1]Print_Summary!$P$23:$P$41)</f>
        <v>Jack</v>
      </c>
      <c r="E33" s="1" t="str" cm="1">
        <f t="array" ref="E33">_xlfn.XLOOKUP("FF",[1]Print_Summary!$O$23:$O$41,[1]Print_Summary!$P$23:$P$41)</f>
        <v>King</v>
      </c>
      <c r="F33" s="2" t="str" cm="1">
        <f t="array" ref="F33">_xlfn.XLOOKUP("MS",[1]Print_Summary!$O$23:$O$41,[1]Print_Summary!$P$23:$P$41)</f>
        <v>Mystery1</v>
      </c>
    </row>
    <row r="34" spans="1:6" ht="15.5">
      <c r="A34" s="7">
        <v>31</v>
      </c>
      <c r="B34" s="1" t="str" cm="1">
        <f t="array" ref="B34">_xlfn.XLOOKUP("BB",[1]Print_Summary!$O$23:$O$41,[1]Print_Summary!$P$23:$P$41)</f>
        <v>Pisces</v>
      </c>
      <c r="C34" s="1" t="str" cm="1">
        <f t="array" ref="C34">_xlfn.XLOOKUP("WC",[1]Print_Summary!$O$23:$O$41,[1]Print_Summary!$P$23:$P$41)</f>
        <v>WILD</v>
      </c>
      <c r="D34" s="1" t="str" cm="1">
        <f t="array" ref="D34">_xlfn.XLOOKUP("AA",[1]Print_Summary!$O$23:$O$41,[1]Print_Summary!$P$23:$P$41)</f>
        <v>Ox</v>
      </c>
      <c r="E34" s="1" t="str" cm="1">
        <f t="array" ref="E34">_xlfn.XLOOKUP("FG",[1]Print_Summary!$O$23:$O$41,[1]Print_Summary!$P$23:$P$41)</f>
        <v>Free Games</v>
      </c>
      <c r="F34" s="2" t="str" cm="1">
        <f t="array" ref="F34">_xlfn.XLOOKUP("MS",[1]Print_Summary!$O$23:$O$41,[1]Print_Summary!$P$23:$P$41)</f>
        <v>Mystery1</v>
      </c>
    </row>
    <row r="35" spans="1:6" ht="15.5">
      <c r="A35" s="7">
        <v>32</v>
      </c>
      <c r="B35" s="1" t="str" cm="1">
        <f t="array" ref="B35">_xlfn.XLOOKUP("BB",[1]Print_Summary!$O$23:$O$41,[1]Print_Summary!$P$23:$P$41)</f>
        <v>Pisces</v>
      </c>
      <c r="C35" s="1" t="str" cm="1">
        <f t="array" ref="C35">_xlfn.XLOOKUP("FF",[1]Print_Summary!$O$23:$O$41,[1]Print_Summary!$P$23:$P$41)</f>
        <v>King</v>
      </c>
      <c r="D35" s="1" t="str" cm="1">
        <f t="array" ref="D35">_xlfn.XLOOKUP("MS",[1]Print_Summary!$O$23:$O$41,[1]Print_Summary!$P$23:$P$41)</f>
        <v>Mystery1</v>
      </c>
      <c r="E35" s="1" t="str" cm="1">
        <f t="array" ref="E35">_xlfn.XLOOKUP("GG",[1]Print_Summary!$O$23:$O$41,[1]Print_Summary!$P$23:$P$41)</f>
        <v>Queen</v>
      </c>
      <c r="F35" s="2" t="str" cm="1">
        <f t="array" ref="F35">_xlfn.XLOOKUP("MS",[1]Print_Summary!$O$23:$O$41,[1]Print_Summary!$P$23:$P$41)</f>
        <v>Mystery1</v>
      </c>
    </row>
    <row r="36" spans="1:6" ht="15.5">
      <c r="A36" s="7">
        <v>33</v>
      </c>
      <c r="B36" s="1" t="str" cm="1">
        <f t="array" ref="B36">_xlfn.XLOOKUP("AA",[1]Print_Summary!$O$23:$O$41,[1]Print_Summary!$P$23:$P$41)</f>
        <v>Ox</v>
      </c>
      <c r="C36" s="1" t="str" cm="1">
        <f t="array" ref="C36">_xlfn.XLOOKUP("AA",[1]Print_Summary!$O$23:$O$41,[1]Print_Summary!$P$23:$P$41)</f>
        <v>Ox</v>
      </c>
      <c r="D36" s="1" t="str" cm="1">
        <f t="array" ref="D36">_xlfn.XLOOKUP("MS",[1]Print_Summary!$O$23:$O$41,[1]Print_Summary!$P$23:$P$41)</f>
        <v>Mystery1</v>
      </c>
      <c r="E36" s="1" t="str" cm="1">
        <f t="array" ref="E36">_xlfn.XLOOKUP("CC",[1]Print_Summary!$O$23:$O$41,[1]Print_Summary!$P$23:$P$41)</f>
        <v>Wealth Pot</v>
      </c>
      <c r="F36" s="2" t="str" cm="1">
        <f t="array" ref="F36">_xlfn.XLOOKUP("MC",[1]Print_Summary!$O$23:$O$41,[1]Print_Summary!$P$23:$P$41)</f>
        <v>Mystery (Orb)</v>
      </c>
    </row>
    <row r="37" spans="1:6" ht="15.5">
      <c r="A37" s="7">
        <v>34</v>
      </c>
      <c r="B37" s="1" t="str" cm="1">
        <f t="array" ref="B37">_xlfn.XLOOKUP("CC",[1]Print_Summary!$O$23:$O$41,[1]Print_Summary!$P$23:$P$41)</f>
        <v>Wealth Pot</v>
      </c>
      <c r="C37" s="1" t="str" cm="1">
        <f t="array" ref="C37">_xlfn.XLOOKUP("AA",[1]Print_Summary!$O$23:$O$41,[1]Print_Summary!$P$23:$P$41)</f>
        <v>Ox</v>
      </c>
      <c r="D37" s="1" t="str" cm="1">
        <f t="array" ref="D37">_xlfn.XLOOKUP("MS",[1]Print_Summary!$O$23:$O$41,[1]Print_Summary!$P$23:$P$41)</f>
        <v>Mystery1</v>
      </c>
      <c r="E37" s="1" t="str" cm="1">
        <f t="array" ref="E37">_xlfn.XLOOKUP("CC",[1]Print_Summary!$O$23:$O$41,[1]Print_Summary!$P$23:$P$41)</f>
        <v>Wealth Pot</v>
      </c>
      <c r="F37" s="2" t="str" cm="1">
        <f t="array" ref="F37">_xlfn.XLOOKUP("MC",[1]Print_Summary!$O$23:$O$41,[1]Print_Summary!$P$23:$P$41)</f>
        <v>Mystery (Orb)</v>
      </c>
    </row>
    <row r="38" spans="1:6" ht="15.5">
      <c r="A38" s="7">
        <v>35</v>
      </c>
      <c r="B38" s="1" t="str" cm="1">
        <f t="array" ref="B38">_xlfn.XLOOKUP("CC",[1]Print_Summary!$O$23:$O$41,[1]Print_Summary!$P$23:$P$41)</f>
        <v>Wealth Pot</v>
      </c>
      <c r="C38" s="1" t="str" cm="1">
        <f t="array" ref="C38">_xlfn.XLOOKUP("EE",[1]Print_Summary!$O$23:$O$41,[1]Print_Summary!$P$23:$P$41)</f>
        <v>Ace</v>
      </c>
      <c r="D38" s="1" t="str" cm="1">
        <f t="array" ref="D38">_xlfn.XLOOKUP("MC",[1]Print_Summary!$O$23:$O$41,[1]Print_Summary!$P$23:$P$41)</f>
        <v>Mystery (Orb)</v>
      </c>
      <c r="E38" s="1" t="str" cm="1">
        <f t="array" ref="E38">_xlfn.XLOOKUP("JJ",[1]Print_Summary!$O$23:$O$41,[1]Print_Summary!$P$23:$P$41)</f>
        <v>Ten</v>
      </c>
      <c r="F38" s="2" t="str" cm="1">
        <f t="array" ref="F38">_xlfn.XLOOKUP("MC",[1]Print_Summary!$O$23:$O$41,[1]Print_Summary!$P$23:$P$41)</f>
        <v>Mystery (Orb)</v>
      </c>
    </row>
    <row r="39" spans="1:6" ht="15.5">
      <c r="A39" s="7">
        <v>36</v>
      </c>
      <c r="B39" s="1" t="str" cm="1">
        <f t="array" ref="B39">_xlfn.XLOOKUP("FF",[1]Print_Summary!$O$23:$O$41,[1]Print_Summary!$P$23:$P$41)</f>
        <v>King</v>
      </c>
      <c r="C39" s="1" t="str" cm="1">
        <f t="array" ref="C39">_xlfn.XLOOKUP("CC",[1]Print_Summary!$O$23:$O$41,[1]Print_Summary!$P$23:$P$41)</f>
        <v>Wealth Pot</v>
      </c>
      <c r="D39" s="1" t="str" cm="1">
        <f t="array" ref="D39">_xlfn.XLOOKUP("MC",[1]Print_Summary!$O$23:$O$41,[1]Print_Summary!$P$23:$P$41)</f>
        <v>Mystery (Orb)</v>
      </c>
      <c r="E39" s="1" t="str" cm="1">
        <f t="array" ref="E39">_xlfn.XLOOKUP("MS",[1]Print_Summary!$O$23:$O$41,[1]Print_Summary!$P$23:$P$41)</f>
        <v>Mystery1</v>
      </c>
      <c r="F39" s="2" t="str" cm="1">
        <f t="array" ref="F39">_xlfn.XLOOKUP("MS",[1]Print_Summary!$O$23:$O$41,[1]Print_Summary!$P$23:$P$41)</f>
        <v>Mystery1</v>
      </c>
    </row>
    <row r="40" spans="1:6" ht="15.5">
      <c r="A40" s="7">
        <v>37</v>
      </c>
      <c r="B40" s="1" t="str" cm="1">
        <f t="array" ref="B40">_xlfn.XLOOKUP("EE",[1]Print_Summary!$O$23:$O$41,[1]Print_Summary!$P$23:$P$41)</f>
        <v>Ace</v>
      </c>
      <c r="C40" s="1" t="str" cm="1">
        <f t="array" ref="C40">_xlfn.XLOOKUP("WC",[1]Print_Summary!$O$23:$O$41,[1]Print_Summary!$P$23:$P$41)</f>
        <v>WILD</v>
      </c>
      <c r="D40" s="1" t="str" cm="1">
        <f t="array" ref="D40">_xlfn.XLOOKUP("MC",[1]Print_Summary!$O$23:$O$41,[1]Print_Summary!$P$23:$P$41)</f>
        <v>Mystery (Orb)</v>
      </c>
      <c r="E40" s="1" t="str" cm="1">
        <f t="array" ref="E40">_xlfn.XLOOKUP("MS",[1]Print_Summary!$O$23:$O$41,[1]Print_Summary!$P$23:$P$41)</f>
        <v>Mystery1</v>
      </c>
      <c r="F40" s="2" t="str" cm="1">
        <f t="array" ref="F40">_xlfn.XLOOKUP("MS",[1]Print_Summary!$O$23:$O$41,[1]Print_Summary!$P$23:$P$41)</f>
        <v>Mystery1</v>
      </c>
    </row>
    <row r="41" spans="1:6" ht="15.5">
      <c r="A41" s="7">
        <v>38</v>
      </c>
      <c r="B41" s="1" t="str" cm="1">
        <f t="array" ref="B41">_xlfn.XLOOKUP("SC",[1]Print_Summary!$O$23:$O$41,[1]Print_Summary!$P$23:$P$41)</f>
        <v>Orb</v>
      </c>
      <c r="C41" s="1" t="str" cm="1">
        <f t="array" ref="C41">_xlfn.XLOOKUP("BB",[1]Print_Summary!$O$23:$O$41,[1]Print_Summary!$P$23:$P$41)</f>
        <v>Pisces</v>
      </c>
      <c r="D41" s="1" t="str" cm="1">
        <f t="array" ref="D41">_xlfn.XLOOKUP("MS",[1]Print_Summary!$O$23:$O$41,[1]Print_Summary!$P$23:$P$41)</f>
        <v>Mystery1</v>
      </c>
      <c r="E41" s="1" t="str" cm="1">
        <f t="array" ref="E41">_xlfn.XLOOKUP("MS",[1]Print_Summary!$O$23:$O$41,[1]Print_Summary!$P$23:$P$41)</f>
        <v>Mystery1</v>
      </c>
      <c r="F41" s="2" t="str" cm="1">
        <f t="array" ref="F41">_xlfn.XLOOKUP("MS",[1]Print_Summary!$O$23:$O$41,[1]Print_Summary!$P$23:$P$41)</f>
        <v>Mystery1</v>
      </c>
    </row>
    <row r="42" spans="1:6" ht="15.5">
      <c r="A42" s="7">
        <v>39</v>
      </c>
      <c r="B42" s="1" t="str" cm="1">
        <f t="array" ref="B42">_xlfn.XLOOKUP("MO",[1]Print_Summary!$O$23:$O$41,[1]Print_Summary!$P$23:$P$41)</f>
        <v>Mystery2</v>
      </c>
      <c r="C42" s="1" t="str" cm="1">
        <f t="array" ref="C42">_xlfn.XLOOKUP("BB",[1]Print_Summary!$O$23:$O$41,[1]Print_Summary!$P$23:$P$41)</f>
        <v>Pisces</v>
      </c>
      <c r="D42" s="1" t="str" cm="1">
        <f t="array" ref="D42">_xlfn.XLOOKUP("MS",[1]Print_Summary!$O$23:$O$41,[1]Print_Summary!$P$23:$P$41)</f>
        <v>Mystery1</v>
      </c>
      <c r="E42" s="1" t="str" cm="1">
        <f t="array" ref="E42">_xlfn.XLOOKUP("MS",[1]Print_Summary!$O$23:$O$41,[1]Print_Summary!$P$23:$P$41)</f>
        <v>Mystery1</v>
      </c>
      <c r="F42" s="2" t="str" cm="1">
        <f t="array" ref="F42">_xlfn.XLOOKUP("MS",[1]Print_Summary!$O$23:$O$41,[1]Print_Summary!$P$23:$P$41)</f>
        <v>Mystery1</v>
      </c>
    </row>
    <row r="43" spans="1:6" ht="15.5">
      <c r="A43" s="7">
        <v>40</v>
      </c>
      <c r="B43" s="1" t="str" cm="1">
        <f t="array" ref="B43">_xlfn.XLOOKUP("SC",[1]Print_Summary!$O$23:$O$41,[1]Print_Summary!$P$23:$P$41)</f>
        <v>Orb</v>
      </c>
      <c r="C43" s="1" t="str" cm="1">
        <f t="array" ref="C43">_xlfn.XLOOKUP("JJ",[1]Print_Summary!$O$23:$O$41,[1]Print_Summary!$P$23:$P$41)</f>
        <v>Ten</v>
      </c>
      <c r="D43" s="1" t="str" cm="1">
        <f t="array" ref="D43">_xlfn.XLOOKUP("MS",[1]Print_Summary!$O$23:$O$41,[1]Print_Summary!$P$23:$P$41)</f>
        <v>Mystery1</v>
      </c>
      <c r="E43" s="1" t="str" cm="1">
        <f t="array" ref="E43">_xlfn.XLOOKUP("MC",[1]Print_Summary!$O$23:$O$41,[1]Print_Summary!$P$23:$P$41)</f>
        <v>Mystery (Orb)</v>
      </c>
      <c r="F43" s="2" t="str" cm="1">
        <f t="array" ref="F43">_xlfn.XLOOKUP("MS",[1]Print_Summary!$O$23:$O$41,[1]Print_Summary!$P$23:$P$41)</f>
        <v>Mystery1</v>
      </c>
    </row>
    <row r="44" spans="1:6" ht="15.5">
      <c r="A44" s="7">
        <v>41</v>
      </c>
      <c r="B44" s="1" t="str" cm="1">
        <f t="array" ref="B44">_xlfn.XLOOKUP("FF",[1]Print_Summary!$O$23:$O$41,[1]Print_Summary!$P$23:$P$41)</f>
        <v>King</v>
      </c>
      <c r="C44" s="1" t="str" cm="1">
        <f t="array" ref="C44">_xlfn.XLOOKUP("DD",[1]Print_Summary!$O$23:$O$41,[1]Print_Summary!$P$23:$P$41)</f>
        <v>Arm Band</v>
      </c>
      <c r="D44" s="1" t="str" cm="1">
        <f t="array" ref="D44">_xlfn.XLOOKUP("MS",[1]Print_Summary!$O$23:$O$41,[1]Print_Summary!$P$23:$P$41)</f>
        <v>Mystery1</v>
      </c>
      <c r="E44" s="1" t="str" cm="1">
        <f t="array" ref="E44">_xlfn.XLOOKUP("MC",[1]Print_Summary!$O$23:$O$41,[1]Print_Summary!$P$23:$P$41)</f>
        <v>Mystery (Orb)</v>
      </c>
      <c r="F44" s="2" t="str" cm="1">
        <f t="array" ref="F44">_xlfn.XLOOKUP("MS",[1]Print_Summary!$O$23:$O$41,[1]Print_Summary!$P$23:$P$41)</f>
        <v>Mystery1</v>
      </c>
    </row>
    <row r="45" spans="1:6" ht="15.5">
      <c r="A45" s="7">
        <v>42</v>
      </c>
      <c r="B45" s="1" t="str" cm="1">
        <f t="array" ref="B45">_xlfn.XLOOKUP("CC",[1]Print_Summary!$O$23:$O$41,[1]Print_Summary!$P$23:$P$41)</f>
        <v>Wealth Pot</v>
      </c>
      <c r="C45" s="1" t="str" cm="1">
        <f t="array" ref="C45">_xlfn.XLOOKUP("DD",[1]Print_Summary!$O$23:$O$41,[1]Print_Summary!$P$23:$P$41)</f>
        <v>Arm Band</v>
      </c>
      <c r="D45" s="1" t="str" cm="1">
        <f t="array" ref="D45">_xlfn.XLOOKUP("MS",[1]Print_Summary!$O$23:$O$41,[1]Print_Summary!$P$23:$P$41)</f>
        <v>Mystery1</v>
      </c>
      <c r="E45" s="1" t="str" cm="1">
        <f t="array" ref="E45">_xlfn.XLOOKUP("MC",[1]Print_Summary!$O$23:$O$41,[1]Print_Summary!$P$23:$P$41)</f>
        <v>Mystery (Orb)</v>
      </c>
      <c r="F45" s="2" t="str" cm="1">
        <f t="array" ref="F45">_xlfn.XLOOKUP("MS",[1]Print_Summary!$O$23:$O$41,[1]Print_Summary!$P$23:$P$41)</f>
        <v>Mystery1</v>
      </c>
    </row>
    <row r="46" spans="1:6" ht="15.5">
      <c r="A46" s="7">
        <v>43</v>
      </c>
      <c r="B46" s="1" t="str" cm="1">
        <f t="array" ref="B46">_xlfn.XLOOKUP("EE",[1]Print_Summary!$O$23:$O$41,[1]Print_Summary!$P$23:$P$41)</f>
        <v>Ace</v>
      </c>
      <c r="C46" s="1" t="str" cm="1">
        <f t="array" ref="C46">_xlfn.XLOOKUP("FG",[1]Print_Summary!$O$23:$O$41,[1]Print_Summary!$P$23:$P$41)</f>
        <v>Free Games</v>
      </c>
      <c r="D46" s="1" t="str" cm="1">
        <f t="array" ref="D46">_xlfn.XLOOKUP("MS",[1]Print_Summary!$O$23:$O$41,[1]Print_Summary!$P$23:$P$41)</f>
        <v>Mystery1</v>
      </c>
      <c r="E46" s="1" t="str" cm="1">
        <f t="array" ref="E46">_xlfn.XLOOKUP("MS",[1]Print_Summary!$O$23:$O$41,[1]Print_Summary!$P$23:$P$41)</f>
        <v>Mystery1</v>
      </c>
      <c r="F46" s="2" t="str" cm="1">
        <f t="array" ref="F46">_xlfn.XLOOKUP("EE",[1]Print_Summary!$O$23:$O$41,[1]Print_Summary!$P$23:$P$41)</f>
        <v>Ace</v>
      </c>
    </row>
    <row r="47" spans="1:6" ht="15.5">
      <c r="A47" s="7">
        <v>44</v>
      </c>
      <c r="B47" s="1" t="str" cm="1">
        <f t="array" ref="B47">_xlfn.XLOOKUP("DD",[1]Print_Summary!$O$23:$O$41,[1]Print_Summary!$P$23:$P$41)</f>
        <v>Arm Band</v>
      </c>
      <c r="C47" s="1" t="str" cm="1">
        <f t="array" ref="C47">_xlfn.XLOOKUP("AA",[1]Print_Summary!$O$23:$O$41,[1]Print_Summary!$P$23:$P$41)</f>
        <v>Ox</v>
      </c>
      <c r="D47" s="1" t="str" cm="1">
        <f t="array" ref="D47">_xlfn.XLOOKUP("MS",[1]Print_Summary!$O$23:$O$41,[1]Print_Summary!$P$23:$P$41)</f>
        <v>Mystery1</v>
      </c>
      <c r="E47" s="1" t="str" cm="1">
        <f t="array" ref="E47">_xlfn.XLOOKUP("MS",[1]Print_Summary!$O$23:$O$41,[1]Print_Summary!$P$23:$P$41)</f>
        <v>Mystery1</v>
      </c>
      <c r="F47" s="2" t="str" cm="1">
        <f t="array" ref="F47">_xlfn.XLOOKUP("AA",[1]Print_Summary!$O$23:$O$41,[1]Print_Summary!$P$23:$P$41)</f>
        <v>Ox</v>
      </c>
    </row>
    <row r="48" spans="1:6" ht="15.5">
      <c r="A48" s="7">
        <v>45</v>
      </c>
      <c r="B48" s="1" t="str" cm="1">
        <f t="array" ref="B48">_xlfn.XLOOKUP("HH",[1]Print_Summary!$O$23:$O$41,[1]Print_Summary!$P$23:$P$41)</f>
        <v>Jack</v>
      </c>
      <c r="C48" s="1" t="str" cm="1">
        <f t="array" ref="C48">_xlfn.XLOOKUP("AA",[1]Print_Summary!$O$23:$O$41,[1]Print_Summary!$P$23:$P$41)</f>
        <v>Ox</v>
      </c>
      <c r="D48" s="1" t="str" cm="1">
        <f t="array" ref="D48">_xlfn.XLOOKUP("MS",[1]Print_Summary!$O$23:$O$41,[1]Print_Summary!$P$23:$P$41)</f>
        <v>Mystery1</v>
      </c>
      <c r="E48" s="1" t="str" cm="1">
        <f t="array" ref="E48">_xlfn.XLOOKUP("MS",[1]Print_Summary!$O$23:$O$41,[1]Print_Summary!$P$23:$P$41)</f>
        <v>Mystery1</v>
      </c>
      <c r="F48" s="2" t="str" cm="1">
        <f t="array" ref="F48">_xlfn.XLOOKUP("AA",[1]Print_Summary!$O$23:$O$41,[1]Print_Summary!$P$23:$P$41)</f>
        <v>Ox</v>
      </c>
    </row>
    <row r="49" spans="1:6" ht="15.5">
      <c r="A49" s="7">
        <v>46</v>
      </c>
      <c r="B49" s="1" t="str" cm="1">
        <f t="array" ref="B49">_xlfn.XLOOKUP("BB",[1]Print_Summary!$O$23:$O$41,[1]Print_Summary!$P$23:$P$41)</f>
        <v>Pisces</v>
      </c>
      <c r="C49" s="1" t="str" cm="1">
        <f t="array" ref="C49">_xlfn.XLOOKUP("CC",[1]Print_Summary!$O$23:$O$41,[1]Print_Summary!$P$23:$P$41)</f>
        <v>Wealth Pot</v>
      </c>
      <c r="D49" s="1" t="str" cm="1">
        <f t="array" ref="D49">_xlfn.XLOOKUP("JJ",[1]Print_Summary!$O$23:$O$41,[1]Print_Summary!$P$23:$P$41)</f>
        <v>Ten</v>
      </c>
      <c r="E49" s="1" t="str" cm="1">
        <f t="array" ref="E49">_xlfn.XLOOKUP("MS",[1]Print_Summary!$O$23:$O$41,[1]Print_Summary!$P$23:$P$41)</f>
        <v>Mystery1</v>
      </c>
      <c r="F49" s="2" t="str" cm="1">
        <f t="array" ref="F49">_xlfn.XLOOKUP("FF",[1]Print_Summary!$O$23:$O$41,[1]Print_Summary!$P$23:$P$41)</f>
        <v>King</v>
      </c>
    </row>
    <row r="50" spans="1:6" ht="15.5">
      <c r="A50" s="7">
        <v>47</v>
      </c>
      <c r="B50" s="1" t="str" cm="1">
        <f t="array" ref="B50">_xlfn.XLOOKUP("BB",[1]Print_Summary!$O$23:$O$41,[1]Print_Summary!$P$23:$P$41)</f>
        <v>Pisces</v>
      </c>
      <c r="C50" s="1" t="str" cm="1">
        <f t="array" ref="C50">_xlfn.XLOOKUP("CC",[1]Print_Summary!$O$23:$O$41,[1]Print_Summary!$P$23:$P$41)</f>
        <v>Wealth Pot</v>
      </c>
      <c r="D50" s="1" t="str" cm="1">
        <f t="array" ref="D50">_xlfn.XLOOKUP("JJ",[1]Print_Summary!$O$23:$O$41,[1]Print_Summary!$P$23:$P$41)</f>
        <v>Ten</v>
      </c>
      <c r="E50" s="1" t="str" cm="1">
        <f t="array" ref="E50">_xlfn.XLOOKUP("MS",[1]Print_Summary!$O$23:$O$41,[1]Print_Summary!$P$23:$P$41)</f>
        <v>Mystery1</v>
      </c>
      <c r="F50" s="2" t="str" cm="1">
        <f t="array" ref="F50">_xlfn.XLOOKUP("BB",[1]Print_Summary!$O$23:$O$41,[1]Print_Summary!$P$23:$P$41)</f>
        <v>Pisces</v>
      </c>
    </row>
    <row r="51" spans="1:6" ht="15.5">
      <c r="A51" s="7">
        <v>48</v>
      </c>
      <c r="B51" s="1" t="str" cm="1">
        <f t="array" ref="B51">_xlfn.XLOOKUP("JJ",[1]Print_Summary!$O$23:$O$41,[1]Print_Summary!$P$23:$P$41)</f>
        <v>Ten</v>
      </c>
      <c r="C51" s="1" t="str" cm="1">
        <f t="array" ref="C51">_xlfn.XLOOKUP("JJ",[1]Print_Summary!$O$23:$O$41,[1]Print_Summary!$P$23:$P$41)</f>
        <v>Ten</v>
      </c>
      <c r="D51" s="1" t="str" cm="1">
        <f t="array" ref="D51">_xlfn.XLOOKUP("AA",[1]Print_Summary!$O$23:$O$41,[1]Print_Summary!$P$23:$P$41)</f>
        <v>Ox</v>
      </c>
      <c r="E51" s="1" t="str" cm="1">
        <f t="array" ref="E51">_xlfn.XLOOKUP("MS",[1]Print_Summary!$O$23:$O$41,[1]Print_Summary!$P$23:$P$41)</f>
        <v>Mystery1</v>
      </c>
      <c r="F51" s="2" t="str" cm="1">
        <f t="array" ref="F51">_xlfn.XLOOKUP("WC",[1]Print_Summary!$O$23:$O$41,[1]Print_Summary!$P$23:$P$41)</f>
        <v>WILD</v>
      </c>
    </row>
    <row r="52" spans="1:6" ht="15.5">
      <c r="A52" s="7">
        <v>49</v>
      </c>
      <c r="B52" s="1" t="str" cm="1">
        <f t="array" ref="B52">_xlfn.XLOOKUP("AA",[1]Print_Summary!$O$23:$O$41,[1]Print_Summary!$P$23:$P$41)</f>
        <v>Ox</v>
      </c>
      <c r="C52" s="1" t="str" cm="1">
        <f t="array" ref="C52">_xlfn.XLOOKUP("FF",[1]Print_Summary!$O$23:$O$41,[1]Print_Summary!$P$23:$P$41)</f>
        <v>King</v>
      </c>
      <c r="D52" s="1" t="str" cm="1">
        <f t="array" ref="D52">_xlfn.XLOOKUP("FF",[1]Print_Summary!$O$23:$O$41,[1]Print_Summary!$P$23:$P$41)</f>
        <v>King</v>
      </c>
      <c r="E52" s="1" t="str" cm="1">
        <f t="array" ref="E52">_xlfn.XLOOKUP("MS",[1]Print_Summary!$O$23:$O$41,[1]Print_Summary!$P$23:$P$41)</f>
        <v>Mystery1</v>
      </c>
      <c r="F52" s="2" t="str" cm="1">
        <f t="array" ref="F52">_xlfn.XLOOKUP("CC",[1]Print_Summary!$O$23:$O$41,[1]Print_Summary!$P$23:$P$41)</f>
        <v>Wealth Pot</v>
      </c>
    </row>
    <row r="53" spans="1:6" ht="15.5">
      <c r="A53" s="7">
        <v>50</v>
      </c>
      <c r="B53" s="1" t="str" cm="1">
        <f t="array" ref="B53">_xlfn.XLOOKUP("HH",[1]Print_Summary!$O$23:$O$41,[1]Print_Summary!$P$23:$P$41)</f>
        <v>Jack</v>
      </c>
      <c r="C53" s="1" t="str" cm="1">
        <f t="array" ref="C53">_xlfn.XLOOKUP("SC",[1]Print_Summary!$O$23:$O$41,[1]Print_Summary!$P$23:$P$41)</f>
        <v>Orb</v>
      </c>
      <c r="D53" s="1" t="str" cm="1">
        <f t="array" ref="D53">_xlfn.XLOOKUP("WC",[1]Print_Summary!$O$23:$O$41,[1]Print_Summary!$P$23:$P$41)</f>
        <v>WILD</v>
      </c>
      <c r="E53" s="1" t="str" cm="1">
        <f t="array" ref="E53">_xlfn.XLOOKUP("MS",[1]Print_Summary!$O$23:$O$41,[1]Print_Summary!$P$23:$P$41)</f>
        <v>Mystery1</v>
      </c>
      <c r="F53" s="2" t="str" cm="1">
        <f t="array" ref="F53">_xlfn.XLOOKUP("FF",[1]Print_Summary!$O$23:$O$41,[1]Print_Summary!$P$23:$P$41)</f>
        <v>King</v>
      </c>
    </row>
    <row r="54" spans="1:6" ht="15.5">
      <c r="A54" s="7">
        <v>51</v>
      </c>
      <c r="B54" s="1" t="str" cm="1">
        <f t="array" ref="B54">_xlfn.XLOOKUP("WC",[1]Print_Summary!$O$23:$O$41,[1]Print_Summary!$P$23:$P$41)</f>
        <v>WILD</v>
      </c>
      <c r="C54" s="1" t="str" cm="1">
        <f t="array" ref="C54">_xlfn.XLOOKUP("SC",[1]Print_Summary!$O$23:$O$41,[1]Print_Summary!$P$23:$P$41)</f>
        <v>Orb</v>
      </c>
      <c r="D54" s="1" t="str" cm="1">
        <f t="array" ref="D54">_xlfn.XLOOKUP("BB",[1]Print_Summary!$O$23:$O$41,[1]Print_Summary!$P$23:$P$41)</f>
        <v>Pisces</v>
      </c>
      <c r="E54" s="1" t="str" cm="1">
        <f t="array" ref="E54">_xlfn.XLOOKUP("FF",[1]Print_Summary!$O$23:$O$41,[1]Print_Summary!$P$23:$P$41)</f>
        <v>King</v>
      </c>
      <c r="F54" s="2" t="str" cm="1">
        <f t="array" ref="F54">_xlfn.XLOOKUP("GG",[1]Print_Summary!$O$23:$O$41,[1]Print_Summary!$P$23:$P$41)</f>
        <v>Queen</v>
      </c>
    </row>
    <row r="55" spans="1:6" ht="15.5">
      <c r="A55" s="7">
        <v>52</v>
      </c>
      <c r="B55" s="1" t="str" cm="1">
        <f t="array" ref="B55">_xlfn.XLOOKUP("FF",[1]Print_Summary!$O$23:$O$41,[1]Print_Summary!$P$23:$P$41)</f>
        <v>King</v>
      </c>
      <c r="C55" s="1" t="str" cm="1">
        <f t="array" ref="C55">_xlfn.XLOOKUP("SC",[1]Print_Summary!$O$23:$O$41,[1]Print_Summary!$P$23:$P$41)</f>
        <v>Orb</v>
      </c>
      <c r="D55" s="1" t="str" cm="1">
        <f t="array" ref="D55">_xlfn.XLOOKUP("DD",[1]Print_Summary!$O$23:$O$41,[1]Print_Summary!$P$23:$P$41)</f>
        <v>Arm Band</v>
      </c>
      <c r="E55" s="1" t="str" cm="1">
        <f t="array" ref="E55">_xlfn.XLOOKUP("GG",[1]Print_Summary!$O$23:$O$41,[1]Print_Summary!$P$23:$P$41)</f>
        <v>Queen</v>
      </c>
      <c r="F55" s="2" t="str" cm="1">
        <f t="array" ref="F55">_xlfn.XLOOKUP("DD",[1]Print_Summary!$O$23:$O$41,[1]Print_Summary!$P$23:$P$41)</f>
        <v>Arm Band</v>
      </c>
    </row>
    <row r="56" spans="1:6" ht="15.5">
      <c r="A56" s="7">
        <v>53</v>
      </c>
      <c r="B56" s="1" t="str" cm="1">
        <f t="array" ref="B56">_xlfn.XLOOKUP("AA",[1]Print_Summary!$O$23:$O$41,[1]Print_Summary!$P$23:$P$41)</f>
        <v>Ox</v>
      </c>
      <c r="C56" s="1" t="str" cm="1">
        <f t="array" ref="C56">_xlfn.XLOOKUP("EE",[1]Print_Summary!$O$23:$O$41,[1]Print_Summary!$P$23:$P$41)</f>
        <v>Ace</v>
      </c>
      <c r="D56" s="1" t="str" cm="1">
        <f t="array" ref="D56">_xlfn.XLOOKUP("DD",[1]Print_Summary!$O$23:$O$41,[1]Print_Summary!$P$23:$P$41)</f>
        <v>Arm Band</v>
      </c>
      <c r="E56" s="1" t="str" cm="1">
        <f t="array" ref="E56">_xlfn.XLOOKUP("DD",[1]Print_Summary!$O$23:$O$41,[1]Print_Summary!$P$23:$P$41)</f>
        <v>Arm Band</v>
      </c>
      <c r="F56" s="2" t="str" cm="1">
        <f t="array" ref="F56">_xlfn.XLOOKUP("FF",[1]Print_Summary!$O$23:$O$41,[1]Print_Summary!$P$23:$P$41)</f>
        <v>King</v>
      </c>
    </row>
    <row r="57" spans="1:6" ht="15.5">
      <c r="A57" s="7">
        <v>54</v>
      </c>
      <c r="B57" s="1" t="str" cm="1">
        <f t="array" ref="B57">_xlfn.XLOOKUP("JJ",[1]Print_Summary!$O$23:$O$41,[1]Print_Summary!$P$23:$P$41)</f>
        <v>Ten</v>
      </c>
      <c r="C57" s="1" t="str" cm="1">
        <f t="array" ref="C57">_xlfn.XLOOKUP("JJ",[1]Print_Summary!$O$23:$O$41,[1]Print_Summary!$P$23:$P$41)</f>
        <v>Ten</v>
      </c>
      <c r="D57" s="1" t="str" cm="1">
        <f t="array" ref="D57">_xlfn.XLOOKUP("EE",[1]Print_Summary!$O$23:$O$41,[1]Print_Summary!$P$23:$P$41)</f>
        <v>Ace</v>
      </c>
      <c r="E57" s="1" t="str" cm="1">
        <f t="array" ref="E57">_xlfn.XLOOKUP("DD",[1]Print_Summary!$O$23:$O$41,[1]Print_Summary!$P$23:$P$41)</f>
        <v>Arm Band</v>
      </c>
      <c r="F57" s="2" t="str" cm="1">
        <f t="array" ref="F57">_xlfn.XLOOKUP("JJ",[1]Print_Summary!$O$23:$O$41,[1]Print_Summary!$P$23:$P$41)</f>
        <v>Ten</v>
      </c>
    </row>
    <row r="58" spans="1:6" ht="15.5">
      <c r="A58" s="7">
        <v>55</v>
      </c>
      <c r="B58" s="1" t="str" cm="1">
        <f t="array" ref="B58">_xlfn.XLOOKUP("CC",[1]Print_Summary!$O$23:$O$41,[1]Print_Summary!$P$23:$P$41)</f>
        <v>Wealth Pot</v>
      </c>
      <c r="C58" s="1" t="str" cm="1">
        <f t="array" ref="C58">_xlfn.XLOOKUP("BB",[1]Print_Summary!$O$23:$O$41,[1]Print_Summary!$P$23:$P$41)</f>
        <v>Pisces</v>
      </c>
      <c r="D58" s="1" t="str" cm="1">
        <f t="array" ref="D58">_xlfn.XLOOKUP("HH",[1]Print_Summary!$O$23:$O$41,[1]Print_Summary!$P$23:$P$41)</f>
        <v>Jack</v>
      </c>
      <c r="E58" s="1" t="str" cm="1">
        <f t="array" ref="E58">_xlfn.XLOOKUP("SF",[1]Print_Summary!$O$23:$O$41,[1]Print_Summary!$P$23:$P$41)</f>
        <v>Orb (Splittable)</v>
      </c>
      <c r="F58" s="2" t="str" cm="1">
        <f t="array" ref="F58">_xlfn.XLOOKUP("EE",[1]Print_Summary!$O$23:$O$41,[1]Print_Summary!$P$23:$P$41)</f>
        <v>Ace</v>
      </c>
    </row>
    <row r="59" spans="1:6" ht="15.5">
      <c r="A59" s="7">
        <v>56</v>
      </c>
      <c r="B59" s="1" t="str" cm="1">
        <f t="array" ref="B59">_xlfn.XLOOKUP("SC",[1]Print_Summary!$O$23:$O$41,[1]Print_Summary!$P$23:$P$41)</f>
        <v>Orb</v>
      </c>
      <c r="C59" s="1" t="str" cm="1">
        <f t="array" ref="C59">_xlfn.XLOOKUP("GG",[1]Print_Summary!$O$23:$O$41,[1]Print_Summary!$P$23:$P$41)</f>
        <v>Queen</v>
      </c>
      <c r="D59" s="1" t="str" cm="1">
        <f t="array" ref="D59">_xlfn.XLOOKUP("SC",[1]Print_Summary!$O$23:$O$41,[1]Print_Summary!$P$23:$P$41)</f>
        <v>Orb</v>
      </c>
      <c r="E59" s="1" t="str" cm="1">
        <f t="array" ref="E59">_xlfn.XLOOKUP("BB",[1]Print_Summary!$O$23:$O$41,[1]Print_Summary!$P$23:$P$41)</f>
        <v>Pisces</v>
      </c>
      <c r="F59" s="2" t="str" cm="1">
        <f t="array" ref="F59">_xlfn.XLOOKUP("DD",[1]Print_Summary!$O$23:$O$41,[1]Print_Summary!$P$23:$P$41)</f>
        <v>Arm Band</v>
      </c>
    </row>
    <row r="60" spans="1:6" ht="15.5">
      <c r="A60" s="7">
        <v>57</v>
      </c>
      <c r="B60" s="1" t="str" cm="1">
        <f t="array" ref="B60">_xlfn.XLOOKUP("SC",[1]Print_Summary!$O$23:$O$41,[1]Print_Summary!$P$23:$P$41)</f>
        <v>Orb</v>
      </c>
      <c r="C60" s="1" t="str" cm="1">
        <f t="array" ref="C60">_xlfn.XLOOKUP("WC",[1]Print_Summary!$O$23:$O$41,[1]Print_Summary!$P$23:$P$41)</f>
        <v>WILD</v>
      </c>
      <c r="D60" s="1" t="str" cm="1">
        <f t="array" ref="D60">_xlfn.XLOOKUP("GG",[1]Print_Summary!$O$23:$O$41,[1]Print_Summary!$P$23:$P$41)</f>
        <v>Queen</v>
      </c>
      <c r="E60" s="1" t="str" cm="1">
        <f t="array" ref="E60">_xlfn.XLOOKUP("EE",[1]Print_Summary!$O$23:$O$41,[1]Print_Summary!$P$23:$P$41)</f>
        <v>Ace</v>
      </c>
      <c r="F60" s="2" t="str" cm="1">
        <f t="array" ref="F60">_xlfn.XLOOKUP("JJ",[1]Print_Summary!$O$23:$O$41,[1]Print_Summary!$P$23:$P$41)</f>
        <v>Ten</v>
      </c>
    </row>
    <row r="61" spans="1:6" ht="15.5">
      <c r="A61" s="7">
        <v>58</v>
      </c>
      <c r="B61" s="1" t="str" cm="1">
        <f t="array" ref="B61">_xlfn.XLOOKUP("JJ",[1]Print_Summary!$O$23:$O$41,[1]Print_Summary!$P$23:$P$41)</f>
        <v>Ten</v>
      </c>
      <c r="C61" s="1" t="str" cm="1">
        <f t="array" ref="C61">_xlfn.XLOOKUP("AA",[1]Print_Summary!$O$23:$O$41,[1]Print_Summary!$P$23:$P$41)</f>
        <v>Ox</v>
      </c>
      <c r="D61" s="1" t="str" cm="1">
        <f t="array" ref="D61">_xlfn.XLOOKUP("DD",[1]Print_Summary!$O$23:$O$41,[1]Print_Summary!$P$23:$P$41)</f>
        <v>Arm Band</v>
      </c>
      <c r="E61" s="1" t="str" cm="1">
        <f t="array" ref="E61">_xlfn.XLOOKUP("CC",[1]Print_Summary!$O$23:$O$41,[1]Print_Summary!$P$23:$P$41)</f>
        <v>Wealth Pot</v>
      </c>
      <c r="F61" s="2" t="str" cm="1">
        <f t="array" ref="F61">_xlfn.XLOOKUP("HH",[1]Print_Summary!$O$23:$O$41,[1]Print_Summary!$P$23:$P$41)</f>
        <v>Jack</v>
      </c>
    </row>
    <row r="62" spans="1:6" ht="15.5">
      <c r="A62" s="7">
        <v>59</v>
      </c>
      <c r="B62" s="1" t="str" cm="1">
        <f t="array" ref="B62">_xlfn.XLOOKUP("CC",[1]Print_Summary!$O$23:$O$41,[1]Print_Summary!$P$23:$P$41)</f>
        <v>Wealth Pot</v>
      </c>
      <c r="C62" s="1" t="str" cm="1">
        <f t="array" ref="C62">_xlfn.XLOOKUP("DD",[1]Print_Summary!$O$23:$O$41,[1]Print_Summary!$P$23:$P$41)</f>
        <v>Arm Band</v>
      </c>
      <c r="D62" s="1" t="str" cm="1">
        <f t="array" ref="D62">_xlfn.XLOOKUP("DD",[1]Print_Summary!$O$23:$O$41,[1]Print_Summary!$P$23:$P$41)</f>
        <v>Arm Band</v>
      </c>
      <c r="E62" s="1" t="str" cm="1">
        <f t="array" ref="E62">_xlfn.XLOOKUP("FF",[1]Print_Summary!$O$23:$O$41,[1]Print_Summary!$P$23:$P$41)</f>
        <v>King</v>
      </c>
      <c r="F62" s="2" t="str" cm="1">
        <f t="array" ref="F62">_xlfn.XLOOKUP("FF",[1]Print_Summary!$O$23:$O$41,[1]Print_Summary!$P$23:$P$41)</f>
        <v>King</v>
      </c>
    </row>
    <row r="63" spans="1:6" ht="15.5">
      <c r="A63" s="7">
        <v>60</v>
      </c>
      <c r="B63" s="1" t="str" cm="1">
        <f t="array" ref="B63">_xlfn.XLOOKUP("DD",[1]Print_Summary!$O$23:$O$41,[1]Print_Summary!$P$23:$P$41)</f>
        <v>Arm Band</v>
      </c>
      <c r="C63" s="1" t="str" cm="1">
        <f t="array" ref="C63">_xlfn.XLOOKUP("EE",[1]Print_Summary!$O$23:$O$41,[1]Print_Summary!$P$23:$P$41)</f>
        <v>Ace</v>
      </c>
      <c r="D63" s="1" t="str" cm="1">
        <f t="array" ref="D63">_xlfn.XLOOKUP("GG",[1]Print_Summary!$O$23:$O$41,[1]Print_Summary!$P$23:$P$41)</f>
        <v>Queen</v>
      </c>
      <c r="E63" s="1" t="str" cm="1">
        <f t="array" ref="E63">_xlfn.XLOOKUP("EE",[1]Print_Summary!$O$23:$O$41,[1]Print_Summary!$P$23:$P$41)</f>
        <v>Ace</v>
      </c>
      <c r="F63" s="2" t="str" cm="1">
        <f t="array" ref="F63">_xlfn.XLOOKUP("FF",[1]Print_Summary!$O$23:$O$41,[1]Print_Summary!$P$23:$P$41)</f>
        <v>King</v>
      </c>
    </row>
    <row r="64" spans="1:6" ht="15.5">
      <c r="A64" s="7">
        <v>61</v>
      </c>
      <c r="B64" s="1" t="str" cm="1">
        <f t="array" ref="B64">_xlfn.XLOOKUP("JJ",[1]Print_Summary!$O$23:$O$41,[1]Print_Summary!$P$23:$P$41)</f>
        <v>Ten</v>
      </c>
      <c r="C64" s="1" t="str" cm="1">
        <f t="array" ref="C64">_xlfn.XLOOKUP("BB",[1]Print_Summary!$O$23:$O$41,[1]Print_Summary!$P$23:$P$41)</f>
        <v>Pisces</v>
      </c>
      <c r="D64" s="1" t="str" cm="1">
        <f t="array" ref="D64">_xlfn.XLOOKUP("HH",[1]Print_Summary!$O$23:$O$41,[1]Print_Summary!$P$23:$P$41)</f>
        <v>Jack</v>
      </c>
      <c r="E64" s="1" t="str" cm="1">
        <f t="array" ref="E64">_xlfn.XLOOKUP("WC",[1]Print_Summary!$O$23:$O$41,[1]Print_Summary!$P$23:$P$41)</f>
        <v>WILD</v>
      </c>
      <c r="F64" s="2" t="str" cm="1">
        <f t="array" ref="F64">_xlfn.XLOOKUP("AA",[1]Print_Summary!$O$23:$O$41,[1]Print_Summary!$P$23:$P$41)</f>
        <v>Ox</v>
      </c>
    </row>
    <row r="65" spans="1:6" ht="15.5">
      <c r="A65" s="7">
        <v>62</v>
      </c>
      <c r="B65" s="1" t="str" cm="1">
        <f t="array" ref="B65">_xlfn.XLOOKUP("CC",[1]Print_Summary!$O$23:$O$41,[1]Print_Summary!$P$23:$P$41)</f>
        <v>Wealth Pot</v>
      </c>
      <c r="C65" s="1" t="str" cm="1">
        <f t="array" ref="C65">_xlfn.XLOOKUP("BB",[1]Print_Summary!$O$23:$O$41,[1]Print_Summary!$P$23:$P$41)</f>
        <v>Pisces</v>
      </c>
      <c r="D65" s="1" t="str" cm="1">
        <f t="array" ref="D65">_xlfn.XLOOKUP("JJ",[1]Print_Summary!$O$23:$O$41,[1]Print_Summary!$P$23:$P$41)</f>
        <v>Ten</v>
      </c>
      <c r="E65" s="1" t="str" cm="1">
        <f t="array" ref="E65">_xlfn.XLOOKUP("WC",[1]Print_Summary!$O$23:$O$41,[1]Print_Summary!$P$23:$P$41)</f>
        <v>WILD</v>
      </c>
      <c r="F65" s="2" t="str" cm="1">
        <f t="array" ref="F65">_xlfn.XLOOKUP("GG",[1]Print_Summary!$O$23:$O$41,[1]Print_Summary!$P$23:$P$41)</f>
        <v>Queen</v>
      </c>
    </row>
    <row r="66" spans="1:6" ht="15.5">
      <c r="A66" s="7">
        <v>63</v>
      </c>
      <c r="B66" s="1" t="str" cm="1">
        <f t="array" ref="B66">_xlfn.XLOOKUP("CC",[1]Print_Summary!$O$23:$O$41,[1]Print_Summary!$P$23:$P$41)</f>
        <v>Wealth Pot</v>
      </c>
      <c r="C66" s="1" t="str" cm="1">
        <f t="array" ref="C66">_xlfn.XLOOKUP("SC",[1]Print_Summary!$O$23:$O$41,[1]Print_Summary!$P$23:$P$41)</f>
        <v>Orb</v>
      </c>
      <c r="D66" s="1" t="str" cm="1">
        <f t="array" ref="D66">_xlfn.XLOOKUP("DD",[1]Print_Summary!$O$23:$O$41,[1]Print_Summary!$P$23:$P$41)</f>
        <v>Arm Band</v>
      </c>
      <c r="E66" s="1" t="str" cm="1">
        <f t="array" ref="E66">_xlfn.XLOOKUP("JJ",[1]Print_Summary!$O$23:$O$41,[1]Print_Summary!$P$23:$P$41)</f>
        <v>Ten</v>
      </c>
      <c r="F66" s="2" t="str" cm="1">
        <f t="array" ref="F66">_xlfn.XLOOKUP("HH",[1]Print_Summary!$O$23:$O$41,[1]Print_Summary!$P$23:$P$41)</f>
        <v>Jack</v>
      </c>
    </row>
    <row r="67" spans="1:6" ht="15.5">
      <c r="A67" s="7">
        <v>64</v>
      </c>
      <c r="B67" s="1" t="str" cm="1">
        <f t="array" ref="B67">_xlfn.XLOOKUP("AA",[1]Print_Summary!$O$23:$O$41,[1]Print_Summary!$P$23:$P$41)</f>
        <v>Ox</v>
      </c>
      <c r="C67" s="1" t="str" cm="1">
        <f t="array" ref="C67">_xlfn.XLOOKUP("SC",[1]Print_Summary!$O$23:$O$41,[1]Print_Summary!$P$23:$P$41)</f>
        <v>Orb</v>
      </c>
      <c r="D67" s="1" t="str" cm="1">
        <f t="array" ref="D67">_xlfn.XLOOKUP("HH",[1]Print_Summary!$O$23:$O$41,[1]Print_Summary!$P$23:$P$41)</f>
        <v>Jack</v>
      </c>
      <c r="E67" s="1" t="str" cm="1">
        <f t="array" ref="E67">_xlfn.XLOOKUP("DD",[1]Print_Summary!$O$23:$O$41,[1]Print_Summary!$P$23:$P$41)</f>
        <v>Arm Band</v>
      </c>
      <c r="F67" s="2" t="str" cm="1">
        <f t="array" ref="F67">_xlfn.XLOOKUP("BB",[1]Print_Summary!$O$23:$O$41,[1]Print_Summary!$P$23:$P$41)</f>
        <v>Pisces</v>
      </c>
    </row>
    <row r="68" spans="1:6" ht="15.5">
      <c r="A68" s="7">
        <v>65</v>
      </c>
      <c r="B68" s="1" t="str" cm="1">
        <f t="array" ref="B68">_xlfn.XLOOKUP("WC",[1]Print_Summary!$O$23:$O$41,[1]Print_Summary!$P$23:$P$41)</f>
        <v>WILD</v>
      </c>
      <c r="C68" s="1" t="str" cm="1">
        <f t="array" ref="C68">_xlfn.XLOOKUP("AA",[1]Print_Summary!$O$23:$O$41,[1]Print_Summary!$P$23:$P$41)</f>
        <v>Ox</v>
      </c>
      <c r="D68" s="1" t="str" cm="1">
        <f t="array" ref="D68">_xlfn.XLOOKUP("SF",[1]Print_Summary!$O$23:$O$41,[1]Print_Summary!$P$23:$P$41)</f>
        <v>Orb (Splittable)</v>
      </c>
      <c r="E68" s="1" t="str" cm="1">
        <f t="array" ref="E68">_xlfn.XLOOKUP("HH",[1]Print_Summary!$O$23:$O$41,[1]Print_Summary!$P$23:$P$41)</f>
        <v>Jack</v>
      </c>
      <c r="F68" s="2" t="str" cm="1">
        <f t="array" ref="F68">_xlfn.XLOOKUP("FF",[1]Print_Summary!$O$23:$O$41,[1]Print_Summary!$P$23:$P$41)</f>
        <v>King</v>
      </c>
    </row>
    <row r="69" spans="1:6" ht="15.5">
      <c r="A69" s="7">
        <v>66</v>
      </c>
      <c r="B69" s="1" t="str" cm="1">
        <f t="array" ref="B69">_xlfn.XLOOKUP("GG",[1]Print_Summary!$O$23:$O$41,[1]Print_Summary!$P$23:$P$41)</f>
        <v>Queen</v>
      </c>
      <c r="C69" s="1" t="str" cm="1">
        <f t="array" ref="C69">_xlfn.XLOOKUP("FF",[1]Print_Summary!$O$23:$O$41,[1]Print_Summary!$P$23:$P$41)</f>
        <v>King</v>
      </c>
      <c r="D69" s="1" t="str" cm="1">
        <f t="array" ref="D69">_xlfn.XLOOKUP("EE",[1]Print_Summary!$O$23:$O$41,[1]Print_Summary!$P$23:$P$41)</f>
        <v>Ace</v>
      </c>
      <c r="E69" s="1" t="str" cm="1">
        <f t="array" ref="E69">_xlfn.XLOOKUP("GG",[1]Print_Summary!$O$23:$O$41,[1]Print_Summary!$P$23:$P$41)</f>
        <v>Queen</v>
      </c>
      <c r="F69" s="2" t="str" cm="1">
        <f t="array" ref="F69">_xlfn.XLOOKUP("DD",[1]Print_Summary!$O$23:$O$41,[1]Print_Summary!$P$23:$P$41)</f>
        <v>Arm Band</v>
      </c>
    </row>
    <row r="70" spans="1:6" ht="15.5">
      <c r="A70" s="7">
        <v>67</v>
      </c>
      <c r="B70" s="1" t="str" cm="1">
        <f t="array" ref="B70">_xlfn.XLOOKUP("GG",[1]Print_Summary!$O$23:$O$41,[1]Print_Summary!$P$23:$P$41)</f>
        <v>Queen</v>
      </c>
      <c r="C70" s="1" t="str" cm="1">
        <f t="array" ref="C70">_xlfn.XLOOKUP("FF",[1]Print_Summary!$O$23:$O$41,[1]Print_Summary!$P$23:$P$41)</f>
        <v>King</v>
      </c>
      <c r="D70" s="1" t="str" cm="1">
        <f t="array" ref="D70">_xlfn.XLOOKUP("DD",[1]Print_Summary!$O$23:$O$41,[1]Print_Summary!$P$23:$P$41)</f>
        <v>Arm Band</v>
      </c>
      <c r="E70" s="1" t="str" cm="1">
        <f t="array" ref="E70">_xlfn.XLOOKUP("DD",[1]Print_Summary!$O$23:$O$41,[1]Print_Summary!$P$23:$P$41)</f>
        <v>Arm Band</v>
      </c>
      <c r="F70" s="2" t="str" cm="1">
        <f t="array" ref="F70">_xlfn.XLOOKUP("JJ",[1]Print_Summary!$O$23:$O$41,[1]Print_Summary!$P$23:$P$41)</f>
        <v>Ten</v>
      </c>
    </row>
    <row r="71" spans="1:6" ht="15.5">
      <c r="A71" s="7">
        <v>68</v>
      </c>
      <c r="B71" s="1" t="str" cm="1">
        <f t="array" ref="B71">_xlfn.XLOOKUP("EE",[1]Print_Summary!$O$23:$O$41,[1]Print_Summary!$P$23:$P$41)</f>
        <v>Ace</v>
      </c>
      <c r="C71" s="1" t="str" cm="1">
        <f t="array" ref="C71">_xlfn.XLOOKUP("BB",[1]Print_Summary!$O$23:$O$41,[1]Print_Summary!$P$23:$P$41)</f>
        <v>Pisces</v>
      </c>
      <c r="D71" s="1" t="str" cm="1">
        <f t="array" ref="D71">_xlfn.XLOOKUP("GG",[1]Print_Summary!$O$23:$O$41,[1]Print_Summary!$P$23:$P$41)</f>
        <v>Queen</v>
      </c>
      <c r="E71" s="1" t="str" cm="1">
        <f t="array" ref="E71">_xlfn.XLOOKUP("HH",[1]Print_Summary!$O$23:$O$41,[1]Print_Summary!$P$23:$P$41)</f>
        <v>Jack</v>
      </c>
      <c r="F71" s="2" t="str" cm="1">
        <f t="array" ref="F71">_xlfn.XLOOKUP("EE",[1]Print_Summary!$O$23:$O$41,[1]Print_Summary!$P$23:$P$41)</f>
        <v>Ace</v>
      </c>
    </row>
    <row r="72" spans="1:6" ht="15.5">
      <c r="A72" s="7">
        <v>69</v>
      </c>
      <c r="B72" s="1" t="str" cm="1">
        <f t="array" ref="B72">_xlfn.XLOOKUP("FF",[1]Print_Summary!$O$23:$O$41,[1]Print_Summary!$P$23:$P$41)</f>
        <v>King</v>
      </c>
      <c r="C72" s="1" t="str" cm="1">
        <f t="array" ref="C72">_xlfn.XLOOKUP("JJ",[1]Print_Summary!$O$23:$O$41,[1]Print_Summary!$P$23:$P$41)</f>
        <v>Ten</v>
      </c>
      <c r="D72" s="1" t="str" cm="1">
        <f t="array" ref="D72">_xlfn.XLOOKUP("EE",[1]Print_Summary!$O$23:$O$41,[1]Print_Summary!$P$23:$P$41)</f>
        <v>Ace</v>
      </c>
      <c r="E72" s="1" t="str" cm="1">
        <f t="array" ref="E72">_xlfn.XLOOKUP("GG",[1]Print_Summary!$O$23:$O$41,[1]Print_Summary!$P$23:$P$41)</f>
        <v>Queen</v>
      </c>
      <c r="F72" s="2" t="str" cm="1">
        <f t="array" ref="F72">_xlfn.XLOOKUP("SF",[1]Print_Summary!$O$23:$O$41,[1]Print_Summary!$P$23:$P$41)</f>
        <v>Orb (Splittable)</v>
      </c>
    </row>
    <row r="73" spans="1:6" ht="15.5">
      <c r="A73" s="7">
        <v>70</v>
      </c>
      <c r="B73" s="1" t="str" cm="1">
        <f t="array" ref="B73">_xlfn.XLOOKUP("AA",[1]Print_Summary!$O$23:$O$41,[1]Print_Summary!$P$23:$P$41)</f>
        <v>Ox</v>
      </c>
      <c r="C73" s="1" t="str" cm="1">
        <f t="array" ref="C73">_xlfn.XLOOKUP("AA",[1]Print_Summary!$O$23:$O$41,[1]Print_Summary!$P$23:$P$41)</f>
        <v>Ox</v>
      </c>
      <c r="D73" s="1" t="str" cm="1">
        <f t="array" ref="D73">_xlfn.XLOOKUP("WC",[1]Print_Summary!$O$23:$O$41,[1]Print_Summary!$P$23:$P$41)</f>
        <v>WILD</v>
      </c>
      <c r="E73" s="1" t="str" cm="1">
        <f t="array" ref="E73">_xlfn.XLOOKUP("AA",[1]Print_Summary!$O$23:$O$41,[1]Print_Summary!$P$23:$P$41)</f>
        <v>Ox</v>
      </c>
      <c r="F73" s="2" t="str" cm="1">
        <f t="array" ref="F73">_xlfn.XLOOKUP("SC",[1]Print_Summary!$O$23:$O$41,[1]Print_Summary!$P$23:$P$41)</f>
        <v>Orb</v>
      </c>
    </row>
    <row r="74" spans="1:6" ht="15.5">
      <c r="A74" s="7">
        <v>71</v>
      </c>
      <c r="B74" s="1" t="str" cm="1">
        <f t="array" ref="B74">_xlfn.XLOOKUP("AA",[1]Print_Summary!$O$23:$O$41,[1]Print_Summary!$P$23:$P$41)</f>
        <v>Ox</v>
      </c>
      <c r="C74" s="1" t="str" cm="1">
        <f t="array" ref="C74">_xlfn.XLOOKUP("GG",[1]Print_Summary!$O$23:$O$41,[1]Print_Summary!$P$23:$P$41)</f>
        <v>Queen</v>
      </c>
      <c r="D74" s="1" t="str" cm="1">
        <f t="array" ref="D74">_xlfn.XLOOKUP("FF",[1]Print_Summary!$O$23:$O$41,[1]Print_Summary!$P$23:$P$41)</f>
        <v>King</v>
      </c>
      <c r="E74" s="1" t="str" cm="1">
        <f t="array" ref="E74">_xlfn.XLOOKUP("EE",[1]Print_Summary!$O$23:$O$41,[1]Print_Summary!$P$23:$P$41)</f>
        <v>Ace</v>
      </c>
      <c r="F74" s="2" t="str" cm="1">
        <f t="array" ref="F74">_xlfn.XLOOKUP("BB",[1]Print_Summary!$O$23:$O$41,[1]Print_Summary!$P$23:$P$41)</f>
        <v>Pisces</v>
      </c>
    </row>
    <row r="75" spans="1:6" ht="15.5">
      <c r="A75" s="7">
        <v>72</v>
      </c>
      <c r="B75" s="1" t="str" cm="1">
        <f t="array" ref="B75">_xlfn.XLOOKUP("GG",[1]Print_Summary!$O$23:$O$41,[1]Print_Summary!$P$23:$P$41)</f>
        <v>Queen</v>
      </c>
      <c r="C75" s="1" t="str" cm="1">
        <f t="array" ref="C75">_xlfn.XLOOKUP("HH",[1]Print_Summary!$O$23:$O$41,[1]Print_Summary!$P$23:$P$41)</f>
        <v>Jack</v>
      </c>
      <c r="D75" s="1" t="str" cm="1">
        <f t="array" ref="D75">_xlfn.XLOOKUP("BB",[1]Print_Summary!$O$23:$O$41,[1]Print_Summary!$P$23:$P$41)</f>
        <v>Pisces</v>
      </c>
      <c r="E75" s="1" t="str" cm="1">
        <f t="array" ref="E75">_xlfn.XLOOKUP("SC",[1]Print_Summary!$O$23:$O$41,[1]Print_Summary!$P$23:$P$41)</f>
        <v>Orb</v>
      </c>
      <c r="F75" s="2" t="str" cm="1">
        <f t="array" ref="F75">_xlfn.XLOOKUP("GG",[1]Print_Summary!$O$23:$O$41,[1]Print_Summary!$P$23:$P$41)</f>
        <v>Queen</v>
      </c>
    </row>
    <row r="76" spans="1:6" ht="15.5">
      <c r="A76" s="7">
        <v>73</v>
      </c>
      <c r="B76" s="1" t="str" cm="1">
        <f t="array" ref="B76">_xlfn.XLOOKUP("WC",[1]Print_Summary!$O$23:$O$41,[1]Print_Summary!$P$23:$P$41)</f>
        <v>WILD</v>
      </c>
      <c r="C76" s="1" t="str" cm="1">
        <f t="array" ref="C76">_xlfn.XLOOKUP("BB",[1]Print_Summary!$O$23:$O$41,[1]Print_Summary!$P$23:$P$41)</f>
        <v>Pisces</v>
      </c>
      <c r="D76" s="1" t="str" cm="1">
        <f t="array" ref="D76">_xlfn.XLOOKUP("BB",[1]Print_Summary!$O$23:$O$41,[1]Print_Summary!$P$23:$P$41)</f>
        <v>Pisces</v>
      </c>
      <c r="E76" s="1" t="str" cm="1">
        <f t="array" ref="E76">_xlfn.XLOOKUP("SC",[1]Print_Summary!$O$23:$O$41,[1]Print_Summary!$P$23:$P$41)</f>
        <v>Orb</v>
      </c>
      <c r="F76" s="2" t="str" cm="1">
        <f t="array" ref="F76">_xlfn.XLOOKUP("CC",[1]Print_Summary!$O$23:$O$41,[1]Print_Summary!$P$23:$P$41)</f>
        <v>Wealth Pot</v>
      </c>
    </row>
    <row r="77" spans="1:6" ht="15.5">
      <c r="A77" s="7">
        <v>74</v>
      </c>
      <c r="B77" s="1" t="str" cm="1">
        <f t="array" ref="B77">_xlfn.XLOOKUP("HH",[1]Print_Summary!$O$23:$O$41,[1]Print_Summary!$P$23:$P$41)</f>
        <v>Jack</v>
      </c>
      <c r="C77" s="1" t="str" cm="1">
        <f t="array" ref="C77">_xlfn.XLOOKUP("BB",[1]Print_Summary!$O$23:$O$41,[1]Print_Summary!$P$23:$P$41)</f>
        <v>Pisces</v>
      </c>
      <c r="D77" s="1" t="str" cm="1">
        <f t="array" ref="D77">_xlfn.XLOOKUP("GG",[1]Print_Summary!$O$23:$O$41,[1]Print_Summary!$P$23:$P$41)</f>
        <v>Queen</v>
      </c>
      <c r="E77" s="1" t="str" cm="1">
        <f t="array" ref="E77">_xlfn.XLOOKUP("SC",[1]Print_Summary!$O$23:$O$41,[1]Print_Summary!$P$23:$P$41)</f>
        <v>Orb</v>
      </c>
      <c r="F77" s="2" t="str" cm="1">
        <f t="array" ref="F77">_xlfn.XLOOKUP("HH",[1]Print_Summary!$O$23:$O$41,[1]Print_Summary!$P$23:$P$41)</f>
        <v>Jack</v>
      </c>
    </row>
    <row r="78" spans="1:6" ht="15.5">
      <c r="A78" s="7">
        <v>75</v>
      </c>
      <c r="B78" s="1" t="str" cm="1">
        <f t="array" ref="B78">_xlfn.XLOOKUP("CC",[1]Print_Summary!$O$23:$O$41,[1]Print_Summary!$P$23:$P$41)</f>
        <v>Wealth Pot</v>
      </c>
      <c r="C78" s="1" t="str" cm="1">
        <f t="array" ref="C78">_xlfn.XLOOKUP("EE",[1]Print_Summary!$O$23:$O$41,[1]Print_Summary!$P$23:$P$41)</f>
        <v>Ace</v>
      </c>
      <c r="D78" s="1" t="str" cm="1">
        <f t="array" ref="D78">_xlfn.XLOOKUP("SC",[1]Print_Summary!$O$23:$O$41,[1]Print_Summary!$P$23:$P$41)</f>
        <v>Orb</v>
      </c>
      <c r="E78" s="1" t="str" cm="1">
        <f t="array" ref="E78">_xlfn.XLOOKUP("FF",[1]Print_Summary!$O$23:$O$41,[1]Print_Summary!$P$23:$P$41)</f>
        <v>King</v>
      </c>
      <c r="F78" s="2" t="str" cm="1">
        <f t="array" ref="F78">_xlfn.XLOOKUP("AA",[1]Print_Summary!$O$23:$O$41,[1]Print_Summary!$P$23:$P$41)</f>
        <v>Ox</v>
      </c>
    </row>
    <row r="79" spans="1:6" ht="15.5">
      <c r="A79" s="7">
        <v>76</v>
      </c>
      <c r="B79" s="1" t="str" cm="1">
        <f t="array" ref="B79">_xlfn.XLOOKUP("CC",[1]Print_Summary!$O$23:$O$41,[1]Print_Summary!$P$23:$P$41)</f>
        <v>Wealth Pot</v>
      </c>
      <c r="C79" s="1" t="str" cm="1">
        <f t="array" ref="C79">_xlfn.XLOOKUP("WC",[1]Print_Summary!$O$23:$O$41,[1]Print_Summary!$P$23:$P$41)</f>
        <v>WILD</v>
      </c>
      <c r="D79" s="1" t="str" cm="1">
        <f t="array" ref="D79">_xlfn.XLOOKUP("SC",[1]Print_Summary!$O$23:$O$41,[1]Print_Summary!$P$23:$P$41)</f>
        <v>Orb</v>
      </c>
      <c r="E79" s="1" t="str" cm="1">
        <f t="array" ref="E79">_xlfn.XLOOKUP("DD",[1]Print_Summary!$O$23:$O$41,[1]Print_Summary!$P$23:$P$41)</f>
        <v>Arm Band</v>
      </c>
      <c r="F79" s="2" t="str" cm="1">
        <f t="array" ref="F79">_xlfn.XLOOKUP("AA",[1]Print_Summary!$O$23:$O$41,[1]Print_Summary!$P$23:$P$41)</f>
        <v>Ox</v>
      </c>
    </row>
    <row r="80" spans="1:6" ht="15.5">
      <c r="A80" s="7">
        <v>77</v>
      </c>
      <c r="B80" s="1" t="str" cm="1">
        <f t="array" ref="B80">_xlfn.XLOOKUP("FF",[1]Print_Summary!$O$23:$O$41,[1]Print_Summary!$P$23:$P$41)</f>
        <v>King</v>
      </c>
      <c r="C80" s="1" t="str" cm="1">
        <f t="array" ref="C80">_xlfn.XLOOKUP("HH",[1]Print_Summary!$O$23:$O$41,[1]Print_Summary!$P$23:$P$41)</f>
        <v>Jack</v>
      </c>
      <c r="D80" s="1" t="str" cm="1">
        <f t="array" ref="D80">_xlfn.XLOOKUP("SC",[1]Print_Summary!$O$23:$O$41,[1]Print_Summary!$P$23:$P$41)</f>
        <v>Orb</v>
      </c>
      <c r="E80" s="1" t="str" cm="1">
        <f t="array" ref="E80">_xlfn.XLOOKUP("DD",[1]Print_Summary!$O$23:$O$41,[1]Print_Summary!$P$23:$P$41)</f>
        <v>Arm Band</v>
      </c>
      <c r="F80" s="2" t="str" cm="1">
        <f t="array" ref="F80">_xlfn.XLOOKUP("EE",[1]Print_Summary!$O$23:$O$41,[1]Print_Summary!$P$23:$P$41)</f>
        <v>Ace</v>
      </c>
    </row>
    <row r="81" spans="1:6" ht="15.5">
      <c r="A81" s="7">
        <v>78</v>
      </c>
      <c r="B81" s="1" t="str" cm="1">
        <f t="array" ref="B81">_xlfn.XLOOKUP("BB",[1]Print_Summary!$O$23:$O$41,[1]Print_Summary!$P$23:$P$41)</f>
        <v>Pisces</v>
      </c>
      <c r="C81" s="1" t="str" cm="1">
        <f t="array" ref="C81">_xlfn.XLOOKUP("CC",[1]Print_Summary!$O$23:$O$41,[1]Print_Summary!$P$23:$P$41)</f>
        <v>Wealth Pot</v>
      </c>
      <c r="D81" s="1" t="str" cm="1">
        <f t="array" ref="D81">_xlfn.XLOOKUP("EE",[1]Print_Summary!$O$23:$O$41,[1]Print_Summary!$P$23:$P$41)</f>
        <v>Ace</v>
      </c>
      <c r="E81" s="1" t="str" cm="1">
        <f t="array" ref="E81">_xlfn.XLOOKUP("WC",[1]Print_Summary!$O$23:$O$41,[1]Print_Summary!$P$23:$P$41)</f>
        <v>WILD</v>
      </c>
      <c r="F81" s="2" t="str" cm="1">
        <f t="array" ref="F81">_xlfn.XLOOKUP("WC",[1]Print_Summary!$O$23:$O$41,[1]Print_Summary!$P$23:$P$41)</f>
        <v>WILD</v>
      </c>
    </row>
    <row r="82" spans="1:6" ht="15.5">
      <c r="A82" s="7">
        <v>79</v>
      </c>
      <c r="B82" s="1" t="str" cm="1">
        <f t="array" ref="B82">_xlfn.XLOOKUP("GG",[1]Print_Summary!$O$23:$O$41,[1]Print_Summary!$P$23:$P$41)</f>
        <v>Queen</v>
      </c>
      <c r="C82" s="1" t="str" cm="1">
        <f t="array" ref="C82">_xlfn.XLOOKUP("FF",[1]Print_Summary!$O$23:$O$41,[1]Print_Summary!$P$23:$P$41)</f>
        <v>King</v>
      </c>
      <c r="D82" s="1" t="str" cm="1">
        <f t="array" ref="D82">_xlfn.XLOOKUP("DD",[1]Print_Summary!$O$23:$O$41,[1]Print_Summary!$P$23:$P$41)</f>
        <v>Arm Band</v>
      </c>
      <c r="E82" s="1" t="str" cm="1">
        <f t="array" ref="E82">_xlfn.XLOOKUP("EE",[1]Print_Summary!$O$23:$O$41,[1]Print_Summary!$P$23:$P$41)</f>
        <v>Ace</v>
      </c>
      <c r="F82" s="2" t="str" cm="1">
        <f t="array" ref="F82">_xlfn.XLOOKUP("WC",[1]Print_Summary!$O$23:$O$41,[1]Print_Summary!$P$23:$P$41)</f>
        <v>WILD</v>
      </c>
    </row>
    <row r="83" spans="1:6" ht="15.5">
      <c r="A83" s="7">
        <v>80</v>
      </c>
      <c r="B83" s="1" t="str" cm="1">
        <f t="array" ref="B83">_xlfn.XLOOKUP("GG",[1]Print_Summary!$O$23:$O$41,[1]Print_Summary!$P$23:$P$41)</f>
        <v>Queen</v>
      </c>
      <c r="C83" s="1" t="str" cm="1">
        <f t="array" ref="C83">_xlfn.XLOOKUP("DD",[1]Print_Summary!$O$23:$O$41,[1]Print_Summary!$P$23:$P$41)</f>
        <v>Arm Band</v>
      </c>
      <c r="D83" s="1" t="str" cm="1">
        <f t="array" ref="D83">_xlfn.XLOOKUP("FF",[1]Print_Summary!$O$23:$O$41,[1]Print_Summary!$P$23:$P$41)</f>
        <v>King</v>
      </c>
      <c r="E83" s="1" t="str" cm="1">
        <f t="array" ref="E83">_xlfn.XLOOKUP("FF",[1]Print_Summary!$O$23:$O$41,[1]Print_Summary!$P$23:$P$41)</f>
        <v>King</v>
      </c>
      <c r="F83" s="2" t="str" cm="1">
        <f t="array" ref="F83">_xlfn.XLOOKUP("WC",[1]Print_Summary!$O$23:$O$41,[1]Print_Summary!$P$23:$P$41)</f>
        <v>WILD</v>
      </c>
    </row>
    <row r="84" spans="1:6" ht="15.5">
      <c r="A84" s="7">
        <v>81</v>
      </c>
      <c r="B84" s="1" t="str" cm="1">
        <f t="array" ref="B84">_xlfn.XLOOKUP("CC",[1]Print_Summary!$O$23:$O$41,[1]Print_Summary!$P$23:$P$41)</f>
        <v>Wealth Pot</v>
      </c>
      <c r="C84" s="1" t="str" cm="1">
        <f t="array" ref="C84">_xlfn.XLOOKUP("DD",[1]Print_Summary!$O$23:$O$41,[1]Print_Summary!$P$23:$P$41)</f>
        <v>Arm Band</v>
      </c>
      <c r="D84" s="1" t="str" cm="1">
        <f t="array" ref="D84">_xlfn.XLOOKUP("WC",[1]Print_Summary!$O$23:$O$41,[1]Print_Summary!$P$23:$P$41)</f>
        <v>WILD</v>
      </c>
      <c r="E84" s="1" t="str" cm="1">
        <f t="array" ref="E84">_xlfn.XLOOKUP("HH",[1]Print_Summary!$O$23:$O$41,[1]Print_Summary!$P$23:$P$41)</f>
        <v>Jack</v>
      </c>
      <c r="F84" s="2" t="str" cm="1">
        <f t="array" ref="F84">_xlfn.XLOOKUP("GG",[1]Print_Summary!$O$23:$O$41,[1]Print_Summary!$P$23:$P$41)</f>
        <v>Queen</v>
      </c>
    </row>
    <row r="85" spans="1:6" ht="15.5">
      <c r="A85" s="7">
        <v>82</v>
      </c>
      <c r="B85" s="1" t="str" cm="1">
        <f t="array" ref="B85">_xlfn.XLOOKUP("HH",[1]Print_Summary!$O$23:$O$41,[1]Print_Summary!$P$23:$P$41)</f>
        <v>Jack</v>
      </c>
      <c r="C85" s="1" t="str" cm="1">
        <f t="array" ref="C85">_xlfn.XLOOKUP("JJ",[1]Print_Summary!$O$23:$O$41,[1]Print_Summary!$P$23:$P$41)</f>
        <v>Ten</v>
      </c>
      <c r="D85" s="1" t="str" cm="1">
        <f t="array" ref="D85">_xlfn.XLOOKUP("HH",[1]Print_Summary!$O$23:$O$41,[1]Print_Summary!$P$23:$P$41)</f>
        <v>Jack</v>
      </c>
      <c r="E85" s="1" t="str" cm="1">
        <f t="array" ref="E85">_xlfn.XLOOKUP("CC",[1]Print_Summary!$O$23:$O$41,[1]Print_Summary!$P$23:$P$41)</f>
        <v>Wealth Pot</v>
      </c>
      <c r="F85" s="2" t="str" cm="1">
        <f t="array" ref="F85">_xlfn.XLOOKUP("BB",[1]Print_Summary!$O$23:$O$41,[1]Print_Summary!$P$23:$P$41)</f>
        <v>Pisces</v>
      </c>
    </row>
    <row r="86" spans="1:6" ht="15.5">
      <c r="A86" s="7">
        <v>83</v>
      </c>
      <c r="B86" s="1" t="str" cm="1">
        <f t="array" ref="B86">_xlfn.XLOOKUP("WC",[1]Print_Summary!$O$23:$O$41,[1]Print_Summary!$P$23:$P$41)</f>
        <v>WILD</v>
      </c>
      <c r="C86" s="1" t="str" cm="1">
        <f t="array" ref="C86">_xlfn.XLOOKUP("SC",[1]Print_Summary!$O$23:$O$41,[1]Print_Summary!$P$23:$P$41)</f>
        <v>Orb</v>
      </c>
      <c r="D86" s="1" t="str" cm="1">
        <f t="array" ref="D86">_xlfn.XLOOKUP("DD",[1]Print_Summary!$O$23:$O$41,[1]Print_Summary!$P$23:$P$41)</f>
        <v>Arm Band</v>
      </c>
      <c r="E86" s="1" t="str" cm="1">
        <f t="array" ref="E86">_xlfn.XLOOKUP("FG",[1]Print_Summary!$O$23:$O$41,[1]Print_Summary!$P$23:$P$41)</f>
        <v>Free Games</v>
      </c>
      <c r="F86" s="2" t="str" cm="1">
        <f t="array" ref="F86">_xlfn.XLOOKUP("EE",[1]Print_Summary!$O$23:$O$41,[1]Print_Summary!$P$23:$P$41)</f>
        <v>Ace</v>
      </c>
    </row>
    <row r="87" spans="1:6" ht="15.5">
      <c r="A87" s="7">
        <v>84</v>
      </c>
      <c r="B87" s="1" t="str" cm="1">
        <f t="array" ref="B87">_xlfn.XLOOKUP("GG",[1]Print_Summary!$O$23:$O$41,[1]Print_Summary!$P$23:$P$41)</f>
        <v>Queen</v>
      </c>
      <c r="C87" s="1" t="str" cm="1">
        <f t="array" ref="C87">_xlfn.XLOOKUP("MO",[1]Print_Summary!$O$23:$O$41,[1]Print_Summary!$P$23:$P$41)</f>
        <v>Mystery2</v>
      </c>
      <c r="D87" s="1" t="str" cm="1">
        <f t="array" ref="D87">_xlfn.XLOOKUP("DD",[1]Print_Summary!$O$23:$O$41,[1]Print_Summary!$P$23:$P$41)</f>
        <v>Arm Band</v>
      </c>
      <c r="E87" s="1" t="str" cm="1">
        <f t="array" ref="E87">_xlfn.XLOOKUP("JJ",[1]Print_Summary!$O$23:$O$41,[1]Print_Summary!$P$23:$P$41)</f>
        <v>Ten</v>
      </c>
      <c r="F87" s="2" t="str" cm="1">
        <f t="array" ref="F87">_xlfn.XLOOKUP("AA",[1]Print_Summary!$O$23:$O$41,[1]Print_Summary!$P$23:$P$41)</f>
        <v>Ox</v>
      </c>
    </row>
    <row r="88" spans="1:6" ht="15.5">
      <c r="A88" s="7">
        <v>85</v>
      </c>
      <c r="B88" s="1" t="str" cm="1">
        <f t="array" ref="B88">_xlfn.XLOOKUP("AA",[1]Print_Summary!$O$23:$O$41,[1]Print_Summary!$P$23:$P$41)</f>
        <v>Ox</v>
      </c>
      <c r="C88" s="1" t="str" cm="1">
        <f t="array" ref="C88">_xlfn.XLOOKUP("SC",[1]Print_Summary!$O$23:$O$41,[1]Print_Summary!$P$23:$P$41)</f>
        <v>Orb</v>
      </c>
      <c r="D88" s="1" t="str" cm="1">
        <f t="array" ref="D88">_xlfn.XLOOKUP("JJ",[1]Print_Summary!$O$23:$O$41,[1]Print_Summary!$P$23:$P$41)</f>
        <v>Ten</v>
      </c>
      <c r="E88" s="1" t="str" cm="1">
        <f t="array" ref="E88">_xlfn.XLOOKUP("AA",[1]Print_Summary!$O$23:$O$41,[1]Print_Summary!$P$23:$P$41)</f>
        <v>Ox</v>
      </c>
      <c r="F88" s="2" t="str" cm="1">
        <f t="array" ref="F88">_xlfn.XLOOKUP("AA",[1]Print_Summary!$O$23:$O$41,[1]Print_Summary!$P$23:$P$41)</f>
        <v>Ox</v>
      </c>
    </row>
    <row r="89" spans="1:6" ht="15.5">
      <c r="A89" s="7">
        <v>86</v>
      </c>
      <c r="B89" s="1" t="str" cm="1">
        <f t="array" ref="B89">_xlfn.XLOOKUP("HH",[1]Print_Summary!$O$23:$O$41,[1]Print_Summary!$P$23:$P$41)</f>
        <v>Jack</v>
      </c>
      <c r="C89" s="1" t="str" cm="1">
        <f t="array" ref="C89">_xlfn.XLOOKUP("AA",[1]Print_Summary!$O$23:$O$41,[1]Print_Summary!$P$23:$P$41)</f>
        <v>Ox</v>
      </c>
      <c r="D89" s="1" t="str" cm="1">
        <f t="array" ref="D89">_xlfn.XLOOKUP("AA",[1]Print_Summary!$O$23:$O$41,[1]Print_Summary!$P$23:$P$41)</f>
        <v>Ox</v>
      </c>
      <c r="E89" s="1" t="str" cm="1">
        <f t="array" ref="E89">_xlfn.XLOOKUP("GG",[1]Print_Summary!$O$23:$O$41,[1]Print_Summary!$P$23:$P$41)</f>
        <v>Queen</v>
      </c>
      <c r="F89" s="2" t="str" cm="1">
        <f t="array" ref="F89">_xlfn.XLOOKUP("HH",[1]Print_Summary!$O$23:$O$41,[1]Print_Summary!$P$23:$P$41)</f>
        <v>Jack</v>
      </c>
    </row>
    <row r="90" spans="1:6" ht="15.5">
      <c r="A90" s="7">
        <v>87</v>
      </c>
      <c r="B90" s="1" t="str" cm="1">
        <f t="array" ref="B90">_xlfn.XLOOKUP("DD",[1]Print_Summary!$O$23:$O$41,[1]Print_Summary!$P$23:$P$41)</f>
        <v>Arm Band</v>
      </c>
      <c r="C90" s="1" t="str" cm="1">
        <f t="array" ref="C90">_xlfn.XLOOKUP("FF",[1]Print_Summary!$O$23:$O$41,[1]Print_Summary!$P$23:$P$41)</f>
        <v>King</v>
      </c>
      <c r="D90" s="1" t="str" cm="1">
        <f t="array" ref="D90">_xlfn.XLOOKUP("FG",[1]Print_Summary!$O$23:$O$41,[1]Print_Summary!$P$23:$P$41)</f>
        <v>Free Games</v>
      </c>
      <c r="E90" s="1" t="str" cm="1">
        <f t="array" ref="E90">_xlfn.XLOOKUP("WC",[1]Print_Summary!$O$23:$O$41,[1]Print_Summary!$P$23:$P$41)</f>
        <v>WILD</v>
      </c>
      <c r="F90" s="2" t="str" cm="1">
        <f t="array" ref="F90">_xlfn.XLOOKUP("DD",[1]Print_Summary!$O$23:$O$41,[1]Print_Summary!$P$23:$P$41)</f>
        <v>Arm Band</v>
      </c>
    </row>
    <row r="91" spans="1:6" ht="15.5">
      <c r="A91" s="7">
        <v>88</v>
      </c>
      <c r="B91" s="1" t="str" cm="1">
        <f t="array" ref="B91">_xlfn.XLOOKUP("DD",[1]Print_Summary!$O$23:$O$41,[1]Print_Summary!$P$23:$P$41)</f>
        <v>Arm Band</v>
      </c>
      <c r="C91" s="1" t="str" cm="1">
        <f t="array" ref="C91">_xlfn.XLOOKUP("BB",[1]Print_Summary!$O$23:$O$41,[1]Print_Summary!$P$23:$P$41)</f>
        <v>Pisces</v>
      </c>
      <c r="D91" s="1" t="str" cm="1">
        <f t="array" ref="D91">_xlfn.XLOOKUP("FF",[1]Print_Summary!$O$23:$O$41,[1]Print_Summary!$P$23:$P$41)</f>
        <v>King</v>
      </c>
      <c r="E91" s="1" t="str" cm="1">
        <f t="array" ref="E91">_xlfn.XLOOKUP("WC",[1]Print_Summary!$O$23:$O$41,[1]Print_Summary!$P$23:$P$41)</f>
        <v>WILD</v>
      </c>
      <c r="F91" s="2" t="str" cm="1">
        <f t="array" ref="F91">_xlfn.XLOOKUP("DD",[1]Print_Summary!$O$23:$O$41,[1]Print_Summary!$P$23:$P$41)</f>
        <v>Arm Band</v>
      </c>
    </row>
    <row r="92" spans="1:6" ht="15.5">
      <c r="A92" s="7">
        <v>89</v>
      </c>
      <c r="B92" s="1" t="str" cm="1">
        <f t="array" ref="B92">_xlfn.XLOOKUP("JJ",[1]Print_Summary!$O$23:$O$41,[1]Print_Summary!$P$23:$P$41)</f>
        <v>Ten</v>
      </c>
      <c r="C92" s="1" t="str" cm="1">
        <f t="array" ref="C92">_xlfn.XLOOKUP("CC",[1]Print_Summary!$O$23:$O$41,[1]Print_Summary!$P$23:$P$41)</f>
        <v>Wealth Pot</v>
      </c>
      <c r="D92" s="1" t="str" cm="1">
        <f t="array" ref="D92">_xlfn.XLOOKUP("AA",[1]Print_Summary!$O$23:$O$41,[1]Print_Summary!$P$23:$P$41)</f>
        <v>Ox</v>
      </c>
      <c r="E92" s="1" t="str" cm="1">
        <f t="array" ref="E92">_xlfn.XLOOKUP("EE",[1]Print_Summary!$O$23:$O$41,[1]Print_Summary!$P$23:$P$41)</f>
        <v>Ace</v>
      </c>
      <c r="F92" s="2" t="str" cm="1">
        <f t="array" ref="F92">_xlfn.XLOOKUP("FF",[1]Print_Summary!$O$23:$O$41,[1]Print_Summary!$P$23:$P$41)</f>
        <v>King</v>
      </c>
    </row>
    <row r="93" spans="1:6" ht="15.5">
      <c r="A93" s="7">
        <v>90</v>
      </c>
      <c r="B93" s="1" t="str" cm="1">
        <f t="array" ref="B93">_xlfn.XLOOKUP("CC",[1]Print_Summary!$O$23:$O$41,[1]Print_Summary!$P$23:$P$41)</f>
        <v>Wealth Pot</v>
      </c>
      <c r="C93" s="1" t="str" cm="1">
        <f t="array" ref="C93">_xlfn.XLOOKUP("HH",[1]Print_Summary!$O$23:$O$41,[1]Print_Summary!$P$23:$P$41)</f>
        <v>Jack</v>
      </c>
      <c r="D93" s="1" t="str" cm="1">
        <f t="array" ref="D93">_xlfn.XLOOKUP("JJ",[1]Print_Summary!$O$23:$O$41,[1]Print_Summary!$P$23:$P$41)</f>
        <v>Ten</v>
      </c>
      <c r="E93" s="1" t="str" cm="1">
        <f t="array" ref="E93">_xlfn.XLOOKUP("BB",[1]Print_Summary!$O$23:$O$41,[1]Print_Summary!$P$23:$P$41)</f>
        <v>Pisces</v>
      </c>
      <c r="F93" s="2" t="str" cm="1">
        <f t="array" ref="F93">_xlfn.XLOOKUP("CC",[1]Print_Summary!$O$23:$O$41,[1]Print_Summary!$P$23:$P$41)</f>
        <v>Wealth Pot</v>
      </c>
    </row>
    <row r="94" spans="1:6" ht="15.5">
      <c r="A94" s="7">
        <v>91</v>
      </c>
      <c r="B94" s="1" t="str" cm="1">
        <f t="array" ref="B94">_xlfn.XLOOKUP("GG",[1]Print_Summary!$O$23:$O$41,[1]Print_Summary!$P$23:$P$41)</f>
        <v>Queen</v>
      </c>
      <c r="C94" s="1" t="str" cm="1">
        <f t="array" ref="C94">_xlfn.XLOOKUP("WC",[1]Print_Summary!$O$23:$O$41,[1]Print_Summary!$P$23:$P$41)</f>
        <v>WILD</v>
      </c>
      <c r="D94" s="1" t="str" cm="1">
        <f t="array" ref="D94">_xlfn.XLOOKUP("HH",[1]Print_Summary!$O$23:$O$41,[1]Print_Summary!$P$23:$P$41)</f>
        <v>Jack</v>
      </c>
      <c r="E94" s="1" t="str" cm="1">
        <f t="array" ref="E94">_xlfn.XLOOKUP("JJ",[1]Print_Summary!$O$23:$O$41,[1]Print_Summary!$P$23:$P$41)</f>
        <v>Ten</v>
      </c>
      <c r="F94" s="2" t="str" cm="1">
        <f t="array" ref="F94">_xlfn.XLOOKUP("CC",[1]Print_Summary!$O$23:$O$41,[1]Print_Summary!$P$23:$P$41)</f>
        <v>Wealth Pot</v>
      </c>
    </row>
    <row r="95" spans="1:6" ht="15.5">
      <c r="A95" s="7">
        <v>92</v>
      </c>
      <c r="B95" s="1" t="str" cm="1">
        <f t="array" ref="B95">_xlfn.XLOOKUP("HH",[1]Print_Summary!$O$23:$O$41,[1]Print_Summary!$P$23:$P$41)</f>
        <v>Jack</v>
      </c>
      <c r="C95" s="1" t="str" cm="1">
        <f t="array" ref="C95">_xlfn.XLOOKUP("FF",[1]Print_Summary!$O$23:$O$41,[1]Print_Summary!$P$23:$P$41)</f>
        <v>King</v>
      </c>
      <c r="D95" s="1" t="str" cm="1">
        <f t="array" ref="D95">_xlfn.XLOOKUP("CC",[1]Print_Summary!$O$23:$O$41,[1]Print_Summary!$P$23:$P$41)</f>
        <v>Wealth Pot</v>
      </c>
      <c r="E95" s="1" t="str" cm="1">
        <f t="array" ref="E95">_xlfn.XLOOKUP("FF",[1]Print_Summary!$O$23:$O$41,[1]Print_Summary!$P$23:$P$41)</f>
        <v>King</v>
      </c>
      <c r="F95" s="2" t="str" cm="1">
        <f t="array" ref="F95">_xlfn.XLOOKUP("HH",[1]Print_Summary!$O$23:$O$41,[1]Print_Summary!$P$23:$P$41)</f>
        <v>Jack</v>
      </c>
    </row>
    <row r="96" spans="1:6" ht="15.5">
      <c r="A96" s="7">
        <v>93</v>
      </c>
      <c r="B96" s="1" t="str" cm="1">
        <f t="array" ref="B96">_xlfn.XLOOKUP("EE",[1]Print_Summary!$O$23:$O$41,[1]Print_Summary!$P$23:$P$41)</f>
        <v>Ace</v>
      </c>
      <c r="C96" s="1" t="str" cm="1">
        <f t="array" ref="C96">_xlfn.XLOOKUP("EE",[1]Print_Summary!$O$23:$O$41,[1]Print_Summary!$P$23:$P$41)</f>
        <v>Ace</v>
      </c>
      <c r="D96" s="1" t="str" cm="1">
        <f t="array" ref="D96">_xlfn.XLOOKUP("CC",[1]Print_Summary!$O$23:$O$41,[1]Print_Summary!$P$23:$P$41)</f>
        <v>Wealth Pot</v>
      </c>
      <c r="E96" s="1" t="str" cm="1">
        <f t="array" ref="E96">_xlfn.XLOOKUP("FG",[1]Print_Summary!$O$23:$O$41,[1]Print_Summary!$P$23:$P$41)</f>
        <v>Free Games</v>
      </c>
      <c r="F96" s="2" t="str" cm="1">
        <f t="array" ref="F96">_xlfn.XLOOKUP("AA",[1]Print_Summary!$O$23:$O$41,[1]Print_Summary!$P$23:$P$41)</f>
        <v>Ox</v>
      </c>
    </row>
    <row r="97" spans="1:6" ht="15.5">
      <c r="A97" s="7">
        <v>94</v>
      </c>
      <c r="B97" s="1" t="str" cm="1">
        <f t="array" ref="B97">_xlfn.XLOOKUP("BB",[1]Print_Summary!$O$23:$O$41,[1]Print_Summary!$P$23:$P$41)</f>
        <v>Pisces</v>
      </c>
      <c r="C97" s="1" t="str" cm="1">
        <f t="array" ref="C97">_xlfn.XLOOKUP("AA",[1]Print_Summary!$O$23:$O$41,[1]Print_Summary!$P$23:$P$41)</f>
        <v>Ox</v>
      </c>
      <c r="D97" s="1" t="str" cm="1">
        <f t="array" ref="D97">_xlfn.XLOOKUP("EE",[1]Print_Summary!$O$23:$O$41,[1]Print_Summary!$P$23:$P$41)</f>
        <v>Ace</v>
      </c>
      <c r="E97" s="1" t="str" cm="1">
        <f t="array" ref="E97">_xlfn.XLOOKUP("HH",[1]Print_Summary!$O$23:$O$41,[1]Print_Summary!$P$23:$P$41)</f>
        <v>Jack</v>
      </c>
      <c r="F97" s="2" t="str" cm="1">
        <f t="array" ref="F97">_xlfn.XLOOKUP("FF",[1]Print_Summary!$O$23:$O$41,[1]Print_Summary!$P$23:$P$41)</f>
        <v>King</v>
      </c>
    </row>
    <row r="98" spans="1:6" ht="15.5">
      <c r="A98" s="7">
        <v>95</v>
      </c>
      <c r="B98" s="1" t="str" cm="1">
        <f t="array" ref="B98">_xlfn.XLOOKUP("FF",[1]Print_Summary!$O$23:$O$41,[1]Print_Summary!$P$23:$P$41)</f>
        <v>King</v>
      </c>
      <c r="C98" s="1" t="str" cm="1">
        <f t="array" ref="C98">_xlfn.XLOOKUP("SC",[1]Print_Summary!$O$23:$O$41,[1]Print_Summary!$P$23:$P$41)</f>
        <v>Orb</v>
      </c>
      <c r="D98" s="1" t="str" cm="1">
        <f t="array" ref="D98">_xlfn.XLOOKUP("FG",[1]Print_Summary!$O$23:$O$41,[1]Print_Summary!$P$23:$P$41)</f>
        <v>Free Games</v>
      </c>
      <c r="E98" s="1" t="str" cm="1">
        <f t="array" ref="E98">_xlfn.XLOOKUP("JJ",[1]Print_Summary!$O$23:$O$41,[1]Print_Summary!$P$23:$P$41)</f>
        <v>Ten</v>
      </c>
      <c r="F98" s="2" t="str" cm="1">
        <f t="array" ref="F98">_xlfn.XLOOKUP("BB",[1]Print_Summary!$O$23:$O$41,[1]Print_Summary!$P$23:$P$41)</f>
        <v>Pisces</v>
      </c>
    </row>
    <row r="99" spans="1:6" ht="15.5">
      <c r="A99" s="7">
        <v>96</v>
      </c>
      <c r="B99" s="1" t="str" cm="1">
        <f t="array" ref="B99">_xlfn.XLOOKUP("WC",[1]Print_Summary!$O$23:$O$41,[1]Print_Summary!$P$23:$P$41)</f>
        <v>WILD</v>
      </c>
      <c r="C99" s="1" t="str" cm="1">
        <f t="array" ref="C99">_xlfn.XLOOKUP("SC",[1]Print_Summary!$O$23:$O$41,[1]Print_Summary!$P$23:$P$41)</f>
        <v>Orb</v>
      </c>
      <c r="D99" s="1" t="str" cm="1">
        <f t="array" ref="D99">_xlfn.XLOOKUP("DD",[1]Print_Summary!$O$23:$O$41,[1]Print_Summary!$P$23:$P$41)</f>
        <v>Arm Band</v>
      </c>
      <c r="E99" s="1" t="str" cm="1">
        <f t="array" ref="E99">_xlfn.XLOOKUP("BB",[1]Print_Summary!$O$23:$O$41,[1]Print_Summary!$P$23:$P$41)</f>
        <v>Pisces</v>
      </c>
      <c r="F99" s="2" t="str" cm="1">
        <f t="array" ref="F99">_xlfn.XLOOKUP("JJ",[1]Print_Summary!$O$23:$O$41,[1]Print_Summary!$P$23:$P$41)</f>
        <v>Ten</v>
      </c>
    </row>
    <row r="100" spans="1:6" ht="15.5">
      <c r="A100" s="7">
        <v>97</v>
      </c>
      <c r="B100" s="1" t="str" cm="1">
        <f t="array" ref="B100">_xlfn.XLOOKUP("HH",[1]Print_Summary!$O$23:$O$41,[1]Print_Summary!$P$23:$P$41)</f>
        <v>Jack</v>
      </c>
      <c r="C100" s="1" t="str" cm="1">
        <f t="array" ref="C100">_xlfn.XLOOKUP("BB",[1]Print_Summary!$O$23:$O$41,[1]Print_Summary!$P$23:$P$41)</f>
        <v>Pisces</v>
      </c>
      <c r="D100" s="1" t="str" cm="1">
        <f t="array" ref="D100">_xlfn.XLOOKUP("CC",[1]Print_Summary!$O$23:$O$41,[1]Print_Summary!$P$23:$P$41)</f>
        <v>Wealth Pot</v>
      </c>
      <c r="E100" s="1" t="str" cm="1">
        <f t="array" ref="E100">_xlfn.XLOOKUP("BB",[1]Print_Summary!$O$23:$O$41,[1]Print_Summary!$P$23:$P$41)</f>
        <v>Pisces</v>
      </c>
      <c r="F100" s="2" t="str" cm="1">
        <f t="array" ref="F100">_xlfn.XLOOKUP("GG",[1]Print_Summary!$O$23:$O$41,[1]Print_Summary!$P$23:$P$41)</f>
        <v>Queen</v>
      </c>
    </row>
    <row r="101" spans="1:6" ht="15.5">
      <c r="A101" s="7">
        <v>98</v>
      </c>
      <c r="B101" s="1" t="str" cm="1">
        <f t="array" ref="B101">_xlfn.XLOOKUP("CC",[1]Print_Summary!$O$23:$O$41,[1]Print_Summary!$P$23:$P$41)</f>
        <v>Wealth Pot</v>
      </c>
      <c r="C101" s="1" t="str" cm="1">
        <f t="array" ref="C101">_xlfn.XLOOKUP("EE",[1]Print_Summary!$O$23:$O$41,[1]Print_Summary!$P$23:$P$41)</f>
        <v>Ace</v>
      </c>
      <c r="D101" s="1" t="str" cm="1">
        <f t="array" ref="D101">_xlfn.XLOOKUP("CC",[1]Print_Summary!$O$23:$O$41,[1]Print_Summary!$P$23:$P$41)</f>
        <v>Wealth Pot</v>
      </c>
      <c r="E101" s="1" t="str" cm="1">
        <f t="array" ref="E101">_xlfn.XLOOKUP("FF",[1]Print_Summary!$O$23:$O$41,[1]Print_Summary!$P$23:$P$41)</f>
        <v>King</v>
      </c>
      <c r="F101" s="2" t="str" cm="1">
        <f t="array" ref="F101">_xlfn.XLOOKUP("WC",[1]Print_Summary!$O$23:$O$41,[1]Print_Summary!$P$23:$P$41)</f>
        <v>WILD</v>
      </c>
    </row>
    <row r="102" spans="1:6" ht="15.5">
      <c r="A102" s="7">
        <v>99</v>
      </c>
      <c r="B102" s="1" t="str" cm="1">
        <f t="array" ref="B102">_xlfn.XLOOKUP("CC",[1]Print_Summary!$O$23:$O$41,[1]Print_Summary!$P$23:$P$41)</f>
        <v>Wealth Pot</v>
      </c>
      <c r="C102" s="1" t="str" cm="1">
        <f t="array" ref="C102">_xlfn.XLOOKUP("EE",[1]Print_Summary!$O$23:$O$41,[1]Print_Summary!$P$23:$P$41)</f>
        <v>Ace</v>
      </c>
      <c r="D102" s="1" t="str" cm="1">
        <f t="array" ref="D102">_xlfn.XLOOKUP("HH",[1]Print_Summary!$O$23:$O$41,[1]Print_Summary!$P$23:$P$41)</f>
        <v>Jack</v>
      </c>
      <c r="E102" s="1" t="str" cm="1">
        <f t="array" ref="E102">_xlfn.XLOOKUP("SC",[1]Print_Summary!$O$23:$O$41,[1]Print_Summary!$P$23:$P$41)</f>
        <v>Orb</v>
      </c>
      <c r="F102" s="2" t="str" cm="1">
        <f t="array" ref="F102">_xlfn.XLOOKUP("WC",[1]Print_Summary!$O$23:$O$41,[1]Print_Summary!$P$23:$P$41)</f>
        <v>WILD</v>
      </c>
    </row>
    <row r="103" spans="1:6" ht="15.5">
      <c r="A103" s="7">
        <v>100</v>
      </c>
      <c r="B103" s="1" t="str" cm="1">
        <f t="array" ref="B103">_xlfn.XLOOKUP("FF",[1]Print_Summary!$O$23:$O$41,[1]Print_Summary!$P$23:$P$41)</f>
        <v>King</v>
      </c>
      <c r="C103" s="1" t="str" cm="1">
        <f t="array" ref="C103">_xlfn.XLOOKUP("FG",[1]Print_Summary!$O$23:$O$41,[1]Print_Summary!$P$23:$P$41)</f>
        <v>Free Games</v>
      </c>
      <c r="D103" s="1" t="str" cm="1">
        <f t="array" ref="D103">_xlfn.XLOOKUP("HH",[1]Print_Summary!$O$23:$O$41,[1]Print_Summary!$P$23:$P$41)</f>
        <v>Jack</v>
      </c>
      <c r="E103" s="1" t="str" cm="1">
        <f t="array" ref="E103">_xlfn.XLOOKUP("SC",[1]Print_Summary!$O$23:$O$41,[1]Print_Summary!$P$23:$P$41)</f>
        <v>Orb</v>
      </c>
      <c r="F103" s="2" t="str" cm="1">
        <f t="array" ref="F103">_xlfn.XLOOKUP("WC",[1]Print_Summary!$O$23:$O$41,[1]Print_Summary!$P$23:$P$41)</f>
        <v>WILD</v>
      </c>
    </row>
    <row r="104" spans="1:6" ht="15.5">
      <c r="A104" s="7">
        <v>101</v>
      </c>
      <c r="B104" s="1" t="str" cm="1">
        <f t="array" ref="B104">_xlfn.XLOOKUP("SC",[1]Print_Summary!$O$23:$O$41,[1]Print_Summary!$P$23:$P$41)</f>
        <v>Orb</v>
      </c>
      <c r="C104" s="1" t="str" cm="1">
        <f t="array" ref="C104">_xlfn.XLOOKUP("HH",[1]Print_Summary!$O$23:$O$41,[1]Print_Summary!$P$23:$P$41)</f>
        <v>Jack</v>
      </c>
      <c r="D104" s="1" t="str" cm="1">
        <f t="array" ref="D104">_xlfn.XLOOKUP("WC",[1]Print_Summary!$O$23:$O$41,[1]Print_Summary!$P$23:$P$41)</f>
        <v>WILD</v>
      </c>
      <c r="E104" s="1" t="str" cm="1">
        <f t="array" ref="E104">_xlfn.XLOOKUP("SC",[1]Print_Summary!$O$23:$O$41,[1]Print_Summary!$P$23:$P$41)</f>
        <v>Orb</v>
      </c>
      <c r="F104" s="2" t="str" cm="1">
        <f t="array" ref="F104">_xlfn.XLOOKUP("HH",[1]Print_Summary!$O$23:$O$41,[1]Print_Summary!$P$23:$P$41)</f>
        <v>Jack</v>
      </c>
    </row>
    <row r="105" spans="1:6" ht="15.5">
      <c r="A105" s="7">
        <v>102</v>
      </c>
      <c r="B105" s="1" t="str" cm="1">
        <f t="array" ref="B105">_xlfn.XLOOKUP("SC",[1]Print_Summary!$O$23:$O$41,[1]Print_Summary!$P$23:$P$41)</f>
        <v>Orb</v>
      </c>
      <c r="C105" s="1" t="str" cm="1">
        <f t="array" ref="C105">_xlfn.XLOOKUP("DD",[1]Print_Summary!$O$23:$O$41,[1]Print_Summary!$P$23:$P$41)</f>
        <v>Arm Band</v>
      </c>
      <c r="D105" s="1" t="str" cm="1">
        <f t="array" ref="D105">_xlfn.XLOOKUP("GG",[1]Print_Summary!$O$23:$O$41,[1]Print_Summary!$P$23:$P$41)</f>
        <v>Queen</v>
      </c>
      <c r="E105" s="1" t="str" cm="1">
        <f t="array" ref="E105">_xlfn.XLOOKUP("EE",[1]Print_Summary!$O$23:$O$41,[1]Print_Summary!$P$23:$P$41)</f>
        <v>Ace</v>
      </c>
      <c r="F105" s="2" t="str" cm="1">
        <f t="array" ref="F105">_xlfn.XLOOKUP("DD",[1]Print_Summary!$O$23:$O$41,[1]Print_Summary!$P$23:$P$41)</f>
        <v>Arm Band</v>
      </c>
    </row>
    <row r="106" spans="1:6" ht="15.5">
      <c r="A106" s="7">
        <v>103</v>
      </c>
      <c r="B106" s="1" t="str" cm="1">
        <f t="array" ref="B106">_xlfn.XLOOKUP("HH",[1]Print_Summary!$O$23:$O$41,[1]Print_Summary!$P$23:$P$41)</f>
        <v>Jack</v>
      </c>
      <c r="C106" s="1" t="str" cm="1">
        <f t="array" ref="C106">_xlfn.XLOOKUP("CC",[1]Print_Summary!$O$23:$O$41,[1]Print_Summary!$P$23:$P$41)</f>
        <v>Wealth Pot</v>
      </c>
      <c r="D106" s="1" t="str" cm="1">
        <f t="array" ref="D106">_xlfn.XLOOKUP("BB",[1]Print_Summary!$O$23:$O$41,[1]Print_Summary!$P$23:$P$41)</f>
        <v>Pisces</v>
      </c>
      <c r="E106" s="1" t="str" cm="1">
        <f t="array" ref="E106">_xlfn.XLOOKUP("CC",[1]Print_Summary!$O$23:$O$41,[1]Print_Summary!$P$23:$P$41)</f>
        <v>Wealth Pot</v>
      </c>
      <c r="F106" s="2" t="str" cm="1">
        <f t="array" ref="F106">_xlfn.XLOOKUP("FF",[1]Print_Summary!$O$23:$O$41,[1]Print_Summary!$P$23:$P$41)</f>
        <v>King</v>
      </c>
    </row>
    <row r="107" spans="1:6" ht="15.5">
      <c r="A107" s="7">
        <v>104</v>
      </c>
      <c r="B107" s="1" t="str" cm="1">
        <f t="array" ref="B107">_xlfn.XLOOKUP("HH",[1]Print_Summary!$O$23:$O$41,[1]Print_Summary!$P$23:$P$41)</f>
        <v>Jack</v>
      </c>
      <c r="C107" s="1" t="str" cm="1">
        <f t="array" ref="C107">_xlfn.XLOOKUP("EE",[1]Print_Summary!$O$23:$O$41,[1]Print_Summary!$P$23:$P$41)</f>
        <v>Ace</v>
      </c>
      <c r="D107" s="1" t="str" cm="1">
        <f t="array" ref="D107">_xlfn.XLOOKUP("FF",[1]Print_Summary!$O$23:$O$41,[1]Print_Summary!$P$23:$P$41)</f>
        <v>King</v>
      </c>
      <c r="E107" s="1" t="str" cm="1">
        <f t="array" ref="E107">_xlfn.XLOOKUP("HH",[1]Print_Summary!$O$23:$O$41,[1]Print_Summary!$P$23:$P$41)</f>
        <v>Jack</v>
      </c>
      <c r="F107" s="2" t="str" cm="1">
        <f t="array" ref="F107">_xlfn.XLOOKUP("AA",[1]Print_Summary!$O$23:$O$41,[1]Print_Summary!$P$23:$P$41)</f>
        <v>Ox</v>
      </c>
    </row>
    <row r="108" spans="1:6" ht="15.5">
      <c r="A108" s="7">
        <v>105</v>
      </c>
      <c r="B108" s="1" t="str" cm="1">
        <f t="array" ref="B108">_xlfn.XLOOKUP("AA",[1]Print_Summary!$O$23:$O$41,[1]Print_Summary!$P$23:$P$41)</f>
        <v>Ox</v>
      </c>
      <c r="C108" s="1" t="str" cm="1">
        <f t="array" ref="C108">_xlfn.XLOOKUP("WC",[1]Print_Summary!$O$23:$O$41,[1]Print_Summary!$P$23:$P$41)</f>
        <v>WILD</v>
      </c>
      <c r="D108" s="1" t="str" cm="1">
        <f t="array" ref="D108">_xlfn.XLOOKUP("WC",[1]Print_Summary!$O$23:$O$41,[1]Print_Summary!$P$23:$P$41)</f>
        <v>WILD</v>
      </c>
      <c r="E108" s="1" t="str" cm="1">
        <f t="array" ref="E108">_xlfn.XLOOKUP("WC",[1]Print_Summary!$O$23:$O$41,[1]Print_Summary!$P$23:$P$41)</f>
        <v>WILD</v>
      </c>
      <c r="F108" s="2" t="str" cm="1">
        <f t="array" ref="F108">_xlfn.XLOOKUP("AA",[1]Print_Summary!$O$23:$O$41,[1]Print_Summary!$P$23:$P$41)</f>
        <v>Ox</v>
      </c>
    </row>
    <row r="109" spans="1:6" ht="15.5">
      <c r="A109" s="7">
        <v>106</v>
      </c>
      <c r="B109" s="1" t="str" cm="1">
        <f t="array" ref="B109">_xlfn.XLOOKUP("AA",[1]Print_Summary!$O$23:$O$41,[1]Print_Summary!$P$23:$P$41)</f>
        <v>Ox</v>
      </c>
      <c r="C109" s="1" t="str" cm="1">
        <f t="array" ref="C109">_xlfn.XLOOKUP("JJ",[1]Print_Summary!$O$23:$O$41,[1]Print_Summary!$P$23:$P$41)</f>
        <v>Ten</v>
      </c>
      <c r="D109" s="1" t="str" cm="1">
        <f t="array" ref="D109">_xlfn.XLOOKUP("HH",[1]Print_Summary!$O$23:$O$41,[1]Print_Summary!$P$23:$P$41)</f>
        <v>Jack</v>
      </c>
      <c r="E109" s="1" t="str" cm="1">
        <f t="array" ref="E109">_xlfn.XLOOKUP("WC",[1]Print_Summary!$O$23:$O$41,[1]Print_Summary!$P$23:$P$41)</f>
        <v>WILD</v>
      </c>
      <c r="F109" s="2" t="str" cm="1">
        <f t="array" ref="F109">_xlfn.XLOOKUP("EE",[1]Print_Summary!$O$23:$O$41,[1]Print_Summary!$P$23:$P$41)</f>
        <v>Ace</v>
      </c>
    </row>
    <row r="110" spans="1:6" ht="15.5">
      <c r="A110" s="7">
        <v>107</v>
      </c>
      <c r="B110" s="1" t="str" cm="1">
        <f t="array" ref="B110">_xlfn.XLOOKUP("JJ",[1]Print_Summary!$O$23:$O$41,[1]Print_Summary!$P$23:$P$41)</f>
        <v>Ten</v>
      </c>
      <c r="C110" s="1" t="str" cm="1">
        <f t="array" ref="C110">_xlfn.XLOOKUP("CC",[1]Print_Summary!$O$23:$O$41,[1]Print_Summary!$P$23:$P$41)</f>
        <v>Wealth Pot</v>
      </c>
      <c r="D110" s="1" t="str" cm="1">
        <f t="array" ref="D110">_xlfn.XLOOKUP("AA",[1]Print_Summary!$O$23:$O$41,[1]Print_Summary!$P$23:$P$41)</f>
        <v>Ox</v>
      </c>
      <c r="E110" s="1" t="str" cm="1">
        <f t="array" ref="E110">_xlfn.XLOOKUP("FF",[1]Print_Summary!$O$23:$O$41,[1]Print_Summary!$P$23:$P$41)</f>
        <v>King</v>
      </c>
      <c r="F110" s="2" t="str" cm="1">
        <f t="array" ref="F110">_xlfn.XLOOKUP("DD",[1]Print_Summary!$O$23:$O$41,[1]Print_Summary!$P$23:$P$41)</f>
        <v>Arm Band</v>
      </c>
    </row>
    <row r="111" spans="1:6" ht="15.5">
      <c r="A111" s="7">
        <v>108</v>
      </c>
      <c r="B111" s="1" t="str" cm="1">
        <f t="array" ref="B111">_xlfn.XLOOKUP("FF",[1]Print_Summary!$O$23:$O$41,[1]Print_Summary!$P$23:$P$41)</f>
        <v>King</v>
      </c>
      <c r="C111" s="1" t="str" cm="1">
        <f t="array" ref="C111">_xlfn.XLOOKUP("AA",[1]Print_Summary!$O$23:$O$41,[1]Print_Summary!$P$23:$P$41)</f>
        <v>Ox</v>
      </c>
      <c r="D111" s="1" t="str" cm="1">
        <f t="array" ref="D111">_xlfn.XLOOKUP("GG",[1]Print_Summary!$O$23:$O$41,[1]Print_Summary!$P$23:$P$41)</f>
        <v>Queen</v>
      </c>
      <c r="E111" s="1" t="str" cm="1">
        <f t="array" ref="E111">_xlfn.XLOOKUP("DD",[1]Print_Summary!$O$23:$O$41,[1]Print_Summary!$P$23:$P$41)</f>
        <v>Arm Band</v>
      </c>
      <c r="F111" s="2" t="str" cm="1">
        <f t="array" ref="F111">_xlfn.XLOOKUP("FF",[1]Print_Summary!$O$23:$O$41,[1]Print_Summary!$P$23:$P$41)</f>
        <v>King</v>
      </c>
    </row>
    <row r="112" spans="1:6" ht="15.5">
      <c r="A112" s="7">
        <v>109</v>
      </c>
      <c r="B112" s="1" t="str" cm="1">
        <f t="array" ref="B112">_xlfn.XLOOKUP("WC",[1]Print_Summary!$O$23:$O$41,[1]Print_Summary!$P$23:$P$41)</f>
        <v>WILD</v>
      </c>
      <c r="C112" s="1" t="str" cm="1">
        <f t="array" ref="C112">_xlfn.XLOOKUP("DD",[1]Print_Summary!$O$23:$O$41,[1]Print_Summary!$P$23:$P$41)</f>
        <v>Arm Band</v>
      </c>
      <c r="D112" s="1" t="str" cm="1">
        <f t="array" ref="D112">_xlfn.XLOOKUP("WC",[1]Print_Summary!$O$23:$O$41,[1]Print_Summary!$P$23:$P$41)</f>
        <v>WILD</v>
      </c>
      <c r="E112" s="1" t="str" cm="1">
        <f t="array" ref="E112">_xlfn.XLOOKUP("GG",[1]Print_Summary!$O$23:$O$41,[1]Print_Summary!$P$23:$P$41)</f>
        <v>Queen</v>
      </c>
      <c r="F112" s="2" t="str" cm="1">
        <f t="array" ref="F112">_xlfn.XLOOKUP("SC",[1]Print_Summary!$O$23:$O$41,[1]Print_Summary!$P$23:$P$41)</f>
        <v>Orb</v>
      </c>
    </row>
    <row r="113" spans="1:6" ht="15.5">
      <c r="A113" s="7">
        <v>110</v>
      </c>
      <c r="B113" s="1" t="str" cm="1">
        <f t="array" ref="B113">_xlfn.XLOOKUP("EE",[1]Print_Summary!$O$23:$O$41,[1]Print_Summary!$P$23:$P$41)</f>
        <v>Ace</v>
      </c>
      <c r="C113" s="1" t="str" cm="1">
        <f t="array" ref="C113">_xlfn.XLOOKUP("JJ",[1]Print_Summary!$O$23:$O$41,[1]Print_Summary!$P$23:$P$41)</f>
        <v>Ten</v>
      </c>
      <c r="D113" s="1" t="str" cm="1">
        <f t="array" ref="D113">_xlfn.XLOOKUP("JJ",[1]Print_Summary!$O$23:$O$41,[1]Print_Summary!$P$23:$P$41)</f>
        <v>Ten</v>
      </c>
      <c r="E113" s="1" t="str" cm="1">
        <f t="array" ref="E113">_xlfn.XLOOKUP("BB",[1]Print_Summary!$O$23:$O$41,[1]Print_Summary!$P$23:$P$41)</f>
        <v>Pisces</v>
      </c>
      <c r="F113" s="2" t="str" cm="1">
        <f t="array" ref="F113">_xlfn.XLOOKUP("MO",[1]Print_Summary!$O$23:$O$41,[1]Print_Summary!$P$23:$P$41)</f>
        <v>Mystery2</v>
      </c>
    </row>
    <row r="114" spans="1:6" ht="15.5">
      <c r="A114" s="7">
        <v>111</v>
      </c>
      <c r="B114" s="1" t="str" cm="1">
        <f t="array" ref="B114">_xlfn.XLOOKUP("HH",[1]Print_Summary!$O$23:$O$41,[1]Print_Summary!$P$23:$P$41)</f>
        <v>Jack</v>
      </c>
      <c r="C114" s="1" t="str" cm="1">
        <f t="array" ref="C114">_xlfn.XLOOKUP("JJ",[1]Print_Summary!$O$23:$O$41,[1]Print_Summary!$P$23:$P$41)</f>
        <v>Ten</v>
      </c>
      <c r="D114" s="1" t="str" cm="1">
        <f t="array" ref="D114">_xlfn.XLOOKUP("CC",[1]Print_Summary!$O$23:$O$41,[1]Print_Summary!$P$23:$P$41)</f>
        <v>Wealth Pot</v>
      </c>
      <c r="E114" s="1" t="str" cm="1">
        <f t="array" ref="E114">_xlfn.XLOOKUP("JJ",[1]Print_Summary!$O$23:$O$41,[1]Print_Summary!$P$23:$P$41)</f>
        <v>Ten</v>
      </c>
      <c r="F114" s="2" t="str" cm="1">
        <f t="array" ref="F114">_xlfn.XLOOKUP("SC",[1]Print_Summary!$O$23:$O$41,[1]Print_Summary!$P$23:$P$41)</f>
        <v>Orb</v>
      </c>
    </row>
    <row r="115" spans="1:6" ht="15.5">
      <c r="A115" s="7">
        <v>112</v>
      </c>
      <c r="B115" s="1" t="str" cm="1">
        <f t="array" ref="B115">_xlfn.XLOOKUP("CC",[1]Print_Summary!$O$23:$O$41,[1]Print_Summary!$P$23:$P$41)</f>
        <v>Wealth Pot</v>
      </c>
      <c r="C115" s="1" t="str" cm="1">
        <f t="array" ref="C115">_xlfn.XLOOKUP("BB",[1]Print_Summary!$O$23:$O$41,[1]Print_Summary!$P$23:$P$41)</f>
        <v>Pisces</v>
      </c>
      <c r="D115" s="1" t="str" cm="1">
        <f t="array" ref="D115">_xlfn.XLOOKUP("BB",[1]Print_Summary!$O$23:$O$41,[1]Print_Summary!$P$23:$P$41)</f>
        <v>Pisces</v>
      </c>
      <c r="E115" s="1" t="str" cm="1">
        <f t="array" ref="E115">_xlfn.XLOOKUP("FG",[1]Print_Summary!$O$23:$O$41,[1]Print_Summary!$P$23:$P$41)</f>
        <v>Free Games</v>
      </c>
      <c r="F115" s="2" t="str" cm="1">
        <f t="array" ref="F115">_xlfn.XLOOKUP("GG",[1]Print_Summary!$O$23:$O$41,[1]Print_Summary!$P$23:$P$41)</f>
        <v>Queen</v>
      </c>
    </row>
    <row r="116" spans="1:6" ht="15.5">
      <c r="A116" s="7">
        <v>113</v>
      </c>
      <c r="B116" s="1" t="str" cm="1">
        <f t="array" ref="B116">_xlfn.XLOOKUP("JJ",[1]Print_Summary!$O$23:$O$41,[1]Print_Summary!$P$23:$P$41)</f>
        <v>Ten</v>
      </c>
      <c r="C116" s="1" t="str" cm="1">
        <f t="array" ref="C116">_xlfn.XLOOKUP("FF",[1]Print_Summary!$O$23:$O$41,[1]Print_Summary!$P$23:$P$41)</f>
        <v>King</v>
      </c>
      <c r="D116" s="1" t="str" cm="1">
        <f t="array" ref="D116">_xlfn.XLOOKUP("DD",[1]Print_Summary!$O$23:$O$41,[1]Print_Summary!$P$23:$P$41)</f>
        <v>Arm Band</v>
      </c>
      <c r="E116" s="1" t="str" cm="1">
        <f t="array" ref="E116">_xlfn.XLOOKUP("GG",[1]Print_Summary!$O$23:$O$41,[1]Print_Summary!$P$23:$P$41)</f>
        <v>Queen</v>
      </c>
      <c r="F116" s="2" t="str" cm="1">
        <f t="array" ref="F116">_xlfn.XLOOKUP("DD",[1]Print_Summary!$O$23:$O$41,[1]Print_Summary!$P$23:$P$41)</f>
        <v>Arm Band</v>
      </c>
    </row>
    <row r="117" spans="1:6" ht="15.5">
      <c r="A117" s="7">
        <v>114</v>
      </c>
      <c r="B117" s="1" t="str" cm="1">
        <f t="array" ref="B117">_xlfn.XLOOKUP("JJ",[1]Print_Summary!$O$23:$O$41,[1]Print_Summary!$P$23:$P$41)</f>
        <v>Ten</v>
      </c>
      <c r="C117" s="1" t="str" cm="1">
        <f t="array" ref="C117">_xlfn.XLOOKUP("AA",[1]Print_Summary!$O$23:$O$41,[1]Print_Summary!$P$23:$P$41)</f>
        <v>Ox</v>
      </c>
      <c r="D117" s="1" t="str" cm="1">
        <f t="array" ref="D117">_xlfn.XLOOKUP("FG",[1]Print_Summary!$O$23:$O$41,[1]Print_Summary!$P$23:$P$41)</f>
        <v>Free Games</v>
      </c>
      <c r="E117" s="1" t="str" cm="1">
        <f t="array" ref="E117">_xlfn.XLOOKUP("AA",[1]Print_Summary!$O$23:$O$41,[1]Print_Summary!$P$23:$P$41)</f>
        <v>Ox</v>
      </c>
      <c r="F117" s="2" t="str" cm="1">
        <f t="array" ref="F117">_xlfn.XLOOKUP("DD",[1]Print_Summary!$O$23:$O$41,[1]Print_Summary!$P$23:$P$41)</f>
        <v>Arm Band</v>
      </c>
    </row>
    <row r="118" spans="1:6" ht="15.5">
      <c r="A118" s="7">
        <v>115</v>
      </c>
      <c r="B118" s="1" t="str" cm="1">
        <f t="array" ref="B118">_xlfn.XLOOKUP("DD",[1]Print_Summary!$O$23:$O$41,[1]Print_Summary!$P$23:$P$41)</f>
        <v>Arm Band</v>
      </c>
      <c r="C118" s="1" t="str" cm="1">
        <f t="array" ref="C118">_xlfn.XLOOKUP("SC",[1]Print_Summary!$O$23:$O$41,[1]Print_Summary!$P$23:$P$41)</f>
        <v>Orb</v>
      </c>
      <c r="D118" s="1" t="str" cm="1">
        <f t="array" ref="D118">_xlfn.XLOOKUP("AA",[1]Print_Summary!$O$23:$O$41,[1]Print_Summary!$P$23:$P$41)</f>
        <v>Ox</v>
      </c>
      <c r="E118" s="1" t="str" cm="1">
        <f t="array" ref="E118">_xlfn.XLOOKUP("AA",[1]Print_Summary!$O$23:$O$41,[1]Print_Summary!$P$23:$P$41)</f>
        <v>Ox</v>
      </c>
      <c r="F118" s="2" t="str" cm="1">
        <f t="array" ref="F118">_xlfn.XLOOKUP("JJ",[1]Print_Summary!$O$23:$O$41,[1]Print_Summary!$P$23:$P$41)</f>
        <v>Ten</v>
      </c>
    </row>
    <row r="119" spans="1:6" ht="15.5">
      <c r="A119" s="7">
        <v>116</v>
      </c>
      <c r="B119" s="1" t="str" cm="1">
        <f t="array" ref="B119">_xlfn.XLOOKUP("FF",[1]Print_Summary!$O$23:$O$41,[1]Print_Summary!$P$23:$P$41)</f>
        <v>King</v>
      </c>
      <c r="C119" s="1" t="str" cm="1">
        <f t="array" ref="C119">_xlfn.XLOOKUP("SC",[1]Print_Summary!$O$23:$O$41,[1]Print_Summary!$P$23:$P$41)</f>
        <v>Orb</v>
      </c>
      <c r="D119" s="1" t="str" cm="1">
        <f t="array" ref="D119">_xlfn.XLOOKUP("GG",[1]Print_Summary!$O$23:$O$41,[1]Print_Summary!$P$23:$P$41)</f>
        <v>Queen</v>
      </c>
      <c r="E119" s="1" t="str" cm="1">
        <f t="array" ref="E119">_xlfn.XLOOKUP("HH",[1]Print_Summary!$O$23:$O$41,[1]Print_Summary!$P$23:$P$41)</f>
        <v>Jack</v>
      </c>
      <c r="F119" s="2" t="str" cm="1">
        <f t="array" ref="F119">_xlfn.XLOOKUP("BB",[1]Print_Summary!$O$23:$O$41,[1]Print_Summary!$P$23:$P$41)</f>
        <v>Pisces</v>
      </c>
    </row>
    <row r="120" spans="1:6" ht="15.5">
      <c r="A120" s="7">
        <v>117</v>
      </c>
      <c r="B120" s="1" t="str" cm="1">
        <f t="array" ref="B120">_xlfn.XLOOKUP("FF",[1]Print_Summary!$O$23:$O$41,[1]Print_Summary!$P$23:$P$41)</f>
        <v>King</v>
      </c>
      <c r="C120" s="1" t="str" cm="1">
        <f t="array" ref="C120">_xlfn.XLOOKUP("JJ",[1]Print_Summary!$O$23:$O$41,[1]Print_Summary!$P$23:$P$41)</f>
        <v>Ten</v>
      </c>
      <c r="D120" s="1" t="str" cm="1">
        <f t="array" ref="D120">_xlfn.XLOOKUP("CC",[1]Print_Summary!$O$23:$O$41,[1]Print_Summary!$P$23:$P$41)</f>
        <v>Wealth Pot</v>
      </c>
      <c r="E120" s="1" t="str" cm="1">
        <f t="array" ref="E120">_xlfn.XLOOKUP("WC",[1]Print_Summary!$O$23:$O$41,[1]Print_Summary!$P$23:$P$41)</f>
        <v>WILD</v>
      </c>
      <c r="F120" s="2" t="str" cm="1">
        <f t="array" ref="F120">_xlfn.XLOOKUP("EE",[1]Print_Summary!$O$23:$O$41,[1]Print_Summary!$P$23:$P$41)</f>
        <v>Ace</v>
      </c>
    </row>
    <row r="121" spans="1:6" ht="15.5">
      <c r="A121" s="7">
        <v>118</v>
      </c>
      <c r="B121" s="1" t="str" cm="1">
        <f t="array" ref="B121">_xlfn.XLOOKUP("WC",[1]Print_Summary!$O$23:$O$41,[1]Print_Summary!$P$23:$P$41)</f>
        <v>WILD</v>
      </c>
      <c r="C121" s="1" t="str" cm="1">
        <f t="array" ref="C121">_xlfn.XLOOKUP("BB",[1]Print_Summary!$O$23:$O$41,[1]Print_Summary!$P$23:$P$41)</f>
        <v>Pisces</v>
      </c>
      <c r="D121" s="1" t="str" cm="1">
        <f t="array" ref="D121">_xlfn.XLOOKUP("EE",[1]Print_Summary!$O$23:$O$41,[1]Print_Summary!$P$23:$P$41)</f>
        <v>Ace</v>
      </c>
      <c r="E121" s="1" t="str" cm="1">
        <f t="array" ref="E121">_xlfn.XLOOKUP("JJ",[1]Print_Summary!$O$23:$O$41,[1]Print_Summary!$P$23:$P$41)</f>
        <v>Ten</v>
      </c>
      <c r="F121" s="2" t="str" cm="1">
        <f t="array" ref="F121">_xlfn.XLOOKUP("CC",[1]Print_Summary!$O$23:$O$41,[1]Print_Summary!$P$23:$P$41)</f>
        <v>Wealth Pot</v>
      </c>
    </row>
    <row r="122" spans="1:6" ht="15.5">
      <c r="A122" s="7">
        <v>119</v>
      </c>
      <c r="B122" s="1" t="str" cm="1">
        <f t="array" ref="B122">_xlfn.XLOOKUP("HH",[1]Print_Summary!$O$23:$O$41,[1]Print_Summary!$P$23:$P$41)</f>
        <v>Jack</v>
      </c>
      <c r="C122" s="1" t="str" cm="1">
        <f t="array" ref="C122">_xlfn.XLOOKUP("BB",[1]Print_Summary!$O$23:$O$41,[1]Print_Summary!$P$23:$P$41)</f>
        <v>Pisces</v>
      </c>
      <c r="D122" s="1" t="str" cm="1">
        <f t="array" ref="D122">_xlfn.XLOOKUP("WC",[1]Print_Summary!$O$23:$O$41,[1]Print_Summary!$P$23:$P$41)</f>
        <v>WILD</v>
      </c>
      <c r="E122" s="1" t="str" cm="1">
        <f t="array" ref="E122">_xlfn.XLOOKUP("CC",[1]Print_Summary!$O$23:$O$41,[1]Print_Summary!$P$23:$P$41)</f>
        <v>Wealth Pot</v>
      </c>
      <c r="F122" s="2" t="str" cm="1">
        <f t="array" ref="F122">_xlfn.XLOOKUP("CC",[1]Print_Summary!$O$23:$O$41,[1]Print_Summary!$P$23:$P$41)</f>
        <v>Wealth Pot</v>
      </c>
    </row>
    <row r="123" spans="1:6" ht="15.5">
      <c r="A123" s="7">
        <v>120</v>
      </c>
      <c r="B123" s="1" t="str" cm="1">
        <f t="array" ref="B123">_xlfn.XLOOKUP("AA",[1]Print_Summary!$O$23:$O$41,[1]Print_Summary!$P$23:$P$41)</f>
        <v>Ox</v>
      </c>
      <c r="C123" s="1" t="str" cm="1">
        <f t="array" ref="C123">_xlfn.XLOOKUP("HH",[1]Print_Summary!$O$23:$O$41,[1]Print_Summary!$P$23:$P$41)</f>
        <v>Jack</v>
      </c>
      <c r="D123" s="1" t="str" cm="1">
        <f t="array" ref="D123">_xlfn.XLOOKUP("GG",[1]Print_Summary!$O$23:$O$41,[1]Print_Summary!$P$23:$P$41)</f>
        <v>Queen</v>
      </c>
      <c r="E123" s="1" t="str" cm="1">
        <f t="array" ref="E123">_xlfn.XLOOKUP("AA",[1]Print_Summary!$O$23:$O$41,[1]Print_Summary!$P$23:$P$41)</f>
        <v>Ox</v>
      </c>
      <c r="F123" s="2" t="str" cm="1">
        <f t="array" ref="F123">_xlfn.XLOOKUP("HH",[1]Print_Summary!$O$23:$O$41,[1]Print_Summary!$P$23:$P$41)</f>
        <v>Jack</v>
      </c>
    </row>
    <row r="124" spans="1:6" ht="15.5">
      <c r="A124" s="7">
        <v>121</v>
      </c>
      <c r="B124" s="1" t="str" cm="1">
        <f t="array" ref="B124">_xlfn.XLOOKUP("JJ",[1]Print_Summary!$O$23:$O$41,[1]Print_Summary!$P$23:$P$41)</f>
        <v>Ten</v>
      </c>
      <c r="C124" s="1" t="str" cm="1">
        <f t="array" ref="C124">_xlfn.XLOOKUP("HH",[1]Print_Summary!$O$23:$O$41,[1]Print_Summary!$P$23:$P$41)</f>
        <v>Jack</v>
      </c>
      <c r="D124" s="1" t="str" cm="1">
        <f t="array" ref="D124">_xlfn.XLOOKUP("BB",[1]Print_Summary!$O$23:$O$41,[1]Print_Summary!$P$23:$P$41)</f>
        <v>Pisces</v>
      </c>
      <c r="E124" s="1" t="str" cm="1">
        <f t="array" ref="E124">_xlfn.XLOOKUP("DD",[1]Print_Summary!$O$23:$O$41,[1]Print_Summary!$P$23:$P$41)</f>
        <v>Arm Band</v>
      </c>
      <c r="F124" s="2" t="str" cm="1">
        <f t="array" ref="F124">_xlfn.XLOOKUP("WC",[1]Print_Summary!$O$23:$O$41,[1]Print_Summary!$P$23:$P$41)</f>
        <v>WILD</v>
      </c>
    </row>
    <row r="125" spans="1:6" ht="15.5">
      <c r="A125" s="7">
        <v>122</v>
      </c>
      <c r="B125" s="1" t="str" cm="1">
        <f t="array" ref="B125">_xlfn.XLOOKUP("DD",[1]Print_Summary!$O$23:$O$41,[1]Print_Summary!$P$23:$P$41)</f>
        <v>Arm Band</v>
      </c>
      <c r="C125" s="1" t="str" cm="1">
        <f t="array" ref="C125">_xlfn.XLOOKUP("DD",[1]Print_Summary!$O$23:$O$41,[1]Print_Summary!$P$23:$P$41)</f>
        <v>Arm Band</v>
      </c>
      <c r="D125" s="1" t="str" cm="1">
        <f t="array" ref="D125">_xlfn.XLOOKUP("HH",[1]Print_Summary!$O$23:$O$41,[1]Print_Summary!$P$23:$P$41)</f>
        <v>Jack</v>
      </c>
      <c r="E125" s="1" t="str" cm="1">
        <f t="array" ref="E125">_xlfn.XLOOKUP("MS",[1]Print_Summary!$O$23:$O$41,[1]Print_Summary!$P$23:$P$41)</f>
        <v>Mystery1</v>
      </c>
      <c r="F125" s="2" t="str" cm="1">
        <f t="array" ref="F125">_xlfn.XLOOKUP("WC",[1]Print_Summary!$O$23:$O$41,[1]Print_Summary!$P$23:$P$41)</f>
        <v>WILD</v>
      </c>
    </row>
    <row r="126" spans="1:6" ht="15.5">
      <c r="A126" s="7">
        <v>123</v>
      </c>
      <c r="B126" s="1" t="str" cm="1">
        <f t="array" ref="B126">_xlfn.XLOOKUP("EE",[1]Print_Summary!$O$23:$O$41,[1]Print_Summary!$P$23:$P$41)</f>
        <v>Ace</v>
      </c>
      <c r="C126" s="1" t="str" cm="1">
        <f t="array" ref="C126">_xlfn.XLOOKUP("FG",[1]Print_Summary!$O$23:$O$41,[1]Print_Summary!$P$23:$P$41)</f>
        <v>Free Games</v>
      </c>
      <c r="D126" s="1" t="str" cm="1">
        <f t="array" ref="D126">_xlfn.XLOOKUP("HH",[1]Print_Summary!$O$23:$O$41,[1]Print_Summary!$P$23:$P$41)</f>
        <v>Jack</v>
      </c>
      <c r="E126" s="1" t="str" cm="1">
        <f t="array" ref="E126">_xlfn.XLOOKUP("MS",[1]Print_Summary!$O$23:$O$41,[1]Print_Summary!$P$23:$P$41)</f>
        <v>Mystery1</v>
      </c>
      <c r="F126" s="2" t="str" cm="1">
        <f t="array" ref="F126">_xlfn.XLOOKUP("WC",[1]Print_Summary!$O$23:$O$41,[1]Print_Summary!$P$23:$P$41)</f>
        <v>WILD</v>
      </c>
    </row>
    <row r="127" spans="1:6" ht="15.5">
      <c r="A127" s="7">
        <v>124</v>
      </c>
      <c r="B127" s="1" t="str" cm="1">
        <f t="array" ref="B127">_xlfn.XLOOKUP("JJ",[1]Print_Summary!$O$23:$O$41,[1]Print_Summary!$P$23:$P$41)</f>
        <v>Ten</v>
      </c>
      <c r="C127" s="1" t="str" cm="1">
        <f t="array" ref="C127">_xlfn.XLOOKUP("GG",[1]Print_Summary!$O$23:$O$41,[1]Print_Summary!$P$23:$P$41)</f>
        <v>Queen</v>
      </c>
      <c r="D127" s="1" t="str" cm="1">
        <f t="array" ref="D127">_xlfn.XLOOKUP("SC",[1]Print_Summary!$O$23:$O$41,[1]Print_Summary!$P$23:$P$41)</f>
        <v>Orb</v>
      </c>
      <c r="E127" s="1" t="str" cm="1">
        <f t="array" ref="E127">_xlfn.XLOOKUP("MS",[1]Print_Summary!$O$23:$O$41,[1]Print_Summary!$P$23:$P$41)</f>
        <v>Mystery1</v>
      </c>
      <c r="F127" s="2" t="str" cm="1">
        <f t="array" ref="F127">_xlfn.XLOOKUP("JJ",[1]Print_Summary!$O$23:$O$41,[1]Print_Summary!$P$23:$P$41)</f>
        <v>Ten</v>
      </c>
    </row>
    <row r="128" spans="1:6" ht="15.5">
      <c r="A128" s="7">
        <v>125</v>
      </c>
      <c r="B128" s="1" t="str" cm="1">
        <f t="array" ref="B128">_xlfn.XLOOKUP("BB",[1]Print_Summary!$O$23:$O$41,[1]Print_Summary!$P$23:$P$41)</f>
        <v>Pisces</v>
      </c>
      <c r="C128" s="1" t="str" cm="1">
        <f t="array" ref="C128">_xlfn.XLOOKUP("GG",[1]Print_Summary!$O$23:$O$41,[1]Print_Summary!$P$23:$P$41)</f>
        <v>Queen</v>
      </c>
      <c r="D128" s="1" t="str" cm="1">
        <f t="array" ref="D128">_xlfn.XLOOKUP("SC",[1]Print_Summary!$O$23:$O$41,[1]Print_Summary!$P$23:$P$41)</f>
        <v>Orb</v>
      </c>
      <c r="E128" s="1" t="str" cm="1">
        <f t="array" ref="E128">_xlfn.XLOOKUP("MS",[1]Print_Summary!$O$23:$O$41,[1]Print_Summary!$P$23:$P$41)</f>
        <v>Mystery1</v>
      </c>
      <c r="F128" s="2" t="str" cm="1">
        <f t="array" ref="F128">_xlfn.XLOOKUP("GG",[1]Print_Summary!$O$23:$O$41,[1]Print_Summary!$P$23:$P$41)</f>
        <v>Queen</v>
      </c>
    </row>
    <row r="129" spans="1:6" ht="15.5">
      <c r="A129" s="7">
        <v>126</v>
      </c>
      <c r="B129" s="1" t="str" cm="1">
        <f t="array" ref="B129">_xlfn.XLOOKUP("MS",[1]Print_Summary!$O$23:$O$41,[1]Print_Summary!$P$23:$P$41)</f>
        <v>Mystery1</v>
      </c>
      <c r="C129" s="1" t="str" cm="1">
        <f t="array" ref="C129">_xlfn.XLOOKUP("BB",[1]Print_Summary!$O$23:$O$41,[1]Print_Summary!$P$23:$P$41)</f>
        <v>Pisces</v>
      </c>
      <c r="D129" s="1" t="str" cm="1">
        <f t="array" ref="D129">_xlfn.XLOOKUP("GG",[1]Print_Summary!$O$23:$O$41,[1]Print_Summary!$P$23:$P$41)</f>
        <v>Queen</v>
      </c>
      <c r="E129" s="1" t="str" cm="1">
        <f t="array" ref="E129">_xlfn.XLOOKUP("MC",[1]Print_Summary!$O$23:$O$41,[1]Print_Summary!$P$23:$P$41)</f>
        <v>Mystery (Orb)</v>
      </c>
      <c r="F129" s="2" t="str" cm="1">
        <f t="array" ref="F129">_xlfn.XLOOKUP("AA",[1]Print_Summary!$O$23:$O$41,[1]Print_Summary!$P$23:$P$41)</f>
        <v>Ox</v>
      </c>
    </row>
    <row r="130" spans="1:6" ht="15.5">
      <c r="A130" s="7">
        <v>127</v>
      </c>
      <c r="B130" s="1" t="str" cm="1">
        <f t="array" ref="B130">_xlfn.XLOOKUP("MS",[1]Print_Summary!$O$23:$O$41,[1]Print_Summary!$P$23:$P$41)</f>
        <v>Mystery1</v>
      </c>
      <c r="C130" s="1" t="str" cm="1">
        <f t="array" ref="C130">_xlfn.XLOOKUP("JJ",[1]Print_Summary!$O$23:$O$41,[1]Print_Summary!$P$23:$P$41)</f>
        <v>Ten</v>
      </c>
      <c r="D130" s="1" t="str" cm="1">
        <f t="array" ref="D130">_xlfn.XLOOKUP("DD",[1]Print_Summary!$O$23:$O$41,[1]Print_Summary!$P$23:$P$41)</f>
        <v>Arm Band</v>
      </c>
      <c r="E130" s="1" t="str" cm="1">
        <f t="array" ref="E130">_xlfn.XLOOKUP("MC",[1]Print_Summary!$O$23:$O$41,[1]Print_Summary!$P$23:$P$41)</f>
        <v>Mystery (Orb)</v>
      </c>
      <c r="F130" s="2" t="str" cm="1">
        <f t="array" ref="F130">_xlfn.XLOOKUP("JJ",[1]Print_Summary!$O$23:$O$41,[1]Print_Summary!$P$23:$P$41)</f>
        <v>Ten</v>
      </c>
    </row>
    <row r="131" spans="1:6" ht="15.5">
      <c r="A131" s="7">
        <v>128</v>
      </c>
      <c r="B131" s="1" t="str" cm="1">
        <f t="array" ref="B131">_xlfn.XLOOKUP("MS",[1]Print_Summary!$O$23:$O$41,[1]Print_Summary!$P$23:$P$41)</f>
        <v>Mystery1</v>
      </c>
      <c r="C131" s="1" t="str" cm="1">
        <f t="array" ref="C131">_xlfn.XLOOKUP("HH",[1]Print_Summary!$O$23:$O$41,[1]Print_Summary!$P$23:$P$41)</f>
        <v>Jack</v>
      </c>
      <c r="D131" s="1" t="str" cm="1">
        <f t="array" ref="D131">_xlfn.XLOOKUP("DD",[1]Print_Summary!$O$23:$O$41,[1]Print_Summary!$P$23:$P$41)</f>
        <v>Arm Band</v>
      </c>
      <c r="E131" s="1" t="str" cm="1">
        <f t="array" ref="E131">_xlfn.XLOOKUP("MC",[1]Print_Summary!$O$23:$O$41,[1]Print_Summary!$P$23:$P$41)</f>
        <v>Mystery (Orb)</v>
      </c>
      <c r="F131" s="2" t="str" cm="1">
        <f t="array" ref="F131">_xlfn.XLOOKUP("CC",[1]Print_Summary!$O$23:$O$41,[1]Print_Summary!$P$23:$P$41)</f>
        <v>Wealth Pot</v>
      </c>
    </row>
    <row r="132" spans="1:6" ht="15.5">
      <c r="A132" s="7">
        <v>129</v>
      </c>
      <c r="B132" s="1" t="str" cm="1">
        <f t="array" ref="B132">_xlfn.XLOOKUP("MC",[1]Print_Summary!$O$23:$O$41,[1]Print_Summary!$P$23:$P$41)</f>
        <v>Mystery (Orb)</v>
      </c>
      <c r="C132" s="1" t="str" cm="1">
        <f t="array" ref="C132">_xlfn.XLOOKUP("FG",[1]Print_Summary!$O$23:$O$41,[1]Print_Summary!$P$23:$P$41)</f>
        <v>Free Games</v>
      </c>
      <c r="D132" s="1" t="str" cm="1">
        <f t="array" ref="D132">_xlfn.XLOOKUP("GG",[1]Print_Summary!$O$23:$O$41,[1]Print_Summary!$P$23:$P$41)</f>
        <v>Queen</v>
      </c>
      <c r="E132" s="1" t="str" cm="1">
        <f t="array" ref="E132">_xlfn.XLOOKUP("MS",[1]Print_Summary!$O$23:$O$41,[1]Print_Summary!$P$23:$P$41)</f>
        <v>Mystery1</v>
      </c>
      <c r="F132" s="2" t="str" cm="1">
        <f t="array" ref="F132">_xlfn.XLOOKUP("CC",[1]Print_Summary!$O$23:$O$41,[1]Print_Summary!$P$23:$P$41)</f>
        <v>Wealth Pot</v>
      </c>
    </row>
    <row r="133" spans="1:6" ht="15.5">
      <c r="A133" s="7">
        <v>130</v>
      </c>
      <c r="B133" s="1" t="str" cm="1">
        <f t="array" ref="B133">_xlfn.XLOOKUP("MC",[1]Print_Summary!$O$23:$O$41,[1]Print_Summary!$P$23:$P$41)</f>
        <v>Mystery (Orb)</v>
      </c>
      <c r="C133" s="1" t="str" cm="1">
        <f t="array" ref="C133">_xlfn.XLOOKUP("AA",[1]Print_Summary!$O$23:$O$41,[1]Print_Summary!$P$23:$P$41)</f>
        <v>Ox</v>
      </c>
      <c r="D133" s="1" t="str" cm="1">
        <f t="array" ref="D133">_xlfn.XLOOKUP("WC",[1]Print_Summary!$O$23:$O$41,[1]Print_Summary!$P$23:$P$41)</f>
        <v>WILD</v>
      </c>
      <c r="E133" s="1" t="str" cm="1">
        <f t="array" ref="E133">_xlfn.XLOOKUP("MS",[1]Print_Summary!$O$23:$O$41,[1]Print_Summary!$P$23:$P$41)</f>
        <v>Mystery1</v>
      </c>
      <c r="F133" s="2" t="str" cm="1">
        <f t="array" ref="F133">_xlfn.XLOOKUP("GG",[1]Print_Summary!$O$23:$O$41,[1]Print_Summary!$P$23:$P$41)</f>
        <v>Queen</v>
      </c>
    </row>
    <row r="134" spans="1:6" ht="15.5">
      <c r="A134" s="7">
        <v>131</v>
      </c>
      <c r="B134" s="1" t="str" cm="1">
        <f t="array" ref="B134">_xlfn.XLOOKUP("MC",[1]Print_Summary!$O$23:$O$41,[1]Print_Summary!$P$23:$P$41)</f>
        <v>Mystery (Orb)</v>
      </c>
      <c r="C134" s="1" t="str" cm="1">
        <f t="array" ref="C134">_xlfn.XLOOKUP("AA",[1]Print_Summary!$O$23:$O$41,[1]Print_Summary!$P$23:$P$41)</f>
        <v>Ox</v>
      </c>
      <c r="D134" s="1" t="str" cm="1">
        <f t="array" ref="D134">_xlfn.XLOOKUP("JJ",[1]Print_Summary!$O$23:$O$41,[1]Print_Summary!$P$23:$P$41)</f>
        <v>Ten</v>
      </c>
      <c r="E134" s="1" t="str" cm="1">
        <f t="array" ref="E134">_xlfn.XLOOKUP("MS",[1]Print_Summary!$O$23:$O$41,[1]Print_Summary!$P$23:$P$41)</f>
        <v>Mystery1</v>
      </c>
      <c r="F134" s="2" t="str" cm="1">
        <f t="array" ref="F134">_xlfn.XLOOKUP("BB",[1]Print_Summary!$O$23:$O$41,[1]Print_Summary!$P$23:$P$41)</f>
        <v>Pisces</v>
      </c>
    </row>
    <row r="135" spans="1:6" ht="15.5">
      <c r="A135" s="7">
        <v>132</v>
      </c>
      <c r="B135" s="1" t="str" cm="1">
        <f t="array" ref="B135">_xlfn.XLOOKUP("MS",[1]Print_Summary!$O$23:$O$41,[1]Print_Summary!$P$23:$P$41)</f>
        <v>Mystery1</v>
      </c>
      <c r="C135" s="1" t="str" cm="1">
        <f t="array" ref="C135">_xlfn.XLOOKUP("BB",[1]Print_Summary!$O$23:$O$41,[1]Print_Summary!$P$23:$P$41)</f>
        <v>Pisces</v>
      </c>
      <c r="D135" s="1" t="str" cm="1">
        <f t="array" ref="D135">_xlfn.XLOOKUP("CC",[1]Print_Summary!$O$23:$O$41,[1]Print_Summary!$P$23:$P$41)</f>
        <v>Wealth Pot</v>
      </c>
      <c r="E135" s="1" t="str" cm="1">
        <f t="array" ref="E135">_xlfn.XLOOKUP("MS",[1]Print_Summary!$O$23:$O$41,[1]Print_Summary!$P$23:$P$41)</f>
        <v>Mystery1</v>
      </c>
      <c r="F135" s="2" t="str" cm="1">
        <f t="array" ref="F135">_xlfn.XLOOKUP("BB",[1]Print_Summary!$O$23:$O$41,[1]Print_Summary!$P$23:$P$41)</f>
        <v>Pisces</v>
      </c>
    </row>
    <row r="136" spans="1:6" ht="15.5">
      <c r="A136" s="7">
        <v>133</v>
      </c>
      <c r="B136" s="1" t="str" cm="1">
        <f t="array" ref="B136">_xlfn.XLOOKUP("MS",[1]Print_Summary!$O$23:$O$41,[1]Print_Summary!$P$23:$P$41)</f>
        <v>Mystery1</v>
      </c>
      <c r="C136" s="1" t="str" cm="1">
        <f t="array" ref="C136">_xlfn.XLOOKUP("JJ",[1]Print_Summary!$O$23:$O$41,[1]Print_Summary!$P$23:$P$41)</f>
        <v>Ten</v>
      </c>
      <c r="D136" s="1" t="str" cm="1">
        <f t="array" ref="D136">_xlfn.XLOOKUP("BB",[1]Print_Summary!$O$23:$O$41,[1]Print_Summary!$P$23:$P$41)</f>
        <v>Pisces</v>
      </c>
      <c r="E136" s="1" t="str" cm="1">
        <f t="array" ref="E136">_xlfn.XLOOKUP("MS",[1]Print_Summary!$O$23:$O$41,[1]Print_Summary!$P$23:$P$41)</f>
        <v>Mystery1</v>
      </c>
      <c r="F136" s="2" t="str" cm="1">
        <f t="array" ref="F136">_xlfn.XLOOKUP("EE",[1]Print_Summary!$O$23:$O$41,[1]Print_Summary!$P$23:$P$41)</f>
        <v>Ace</v>
      </c>
    </row>
    <row r="137" spans="1:6" ht="15.5">
      <c r="A137" s="7">
        <v>134</v>
      </c>
      <c r="B137" s="1" t="str" cm="1">
        <f t="array" ref="B137">_xlfn.XLOOKUP("MS",[1]Print_Summary!$O$23:$O$41,[1]Print_Summary!$P$23:$P$41)</f>
        <v>Mystery1</v>
      </c>
      <c r="C137" s="1" t="str" cm="1">
        <f t="array" ref="C137">_xlfn.XLOOKUP("WC",[1]Print_Summary!$O$23:$O$41,[1]Print_Summary!$P$23:$P$41)</f>
        <v>WILD</v>
      </c>
      <c r="D137" s="1" t="str" cm="1">
        <f t="array" ref="D137">_xlfn.XLOOKUP("EE",[1]Print_Summary!$O$23:$O$41,[1]Print_Summary!$P$23:$P$41)</f>
        <v>Ace</v>
      </c>
      <c r="E137" s="1" t="str" cm="1">
        <f t="array" ref="E137">_xlfn.XLOOKUP("MS",[1]Print_Summary!$O$23:$O$41,[1]Print_Summary!$P$23:$P$41)</f>
        <v>Mystery1</v>
      </c>
      <c r="F137" s="2" t="str" cm="1">
        <f t="array" ref="F137">_xlfn.XLOOKUP("DD",[1]Print_Summary!$O$23:$O$41,[1]Print_Summary!$P$23:$P$41)</f>
        <v>Arm Band</v>
      </c>
    </row>
    <row r="138" spans="1:6" ht="15.5">
      <c r="A138" s="7">
        <v>135</v>
      </c>
      <c r="B138" s="1" t="str" cm="1">
        <f t="array" ref="B138">_xlfn.XLOOKUP("MS",[1]Print_Summary!$O$23:$O$41,[1]Print_Summary!$P$23:$P$41)</f>
        <v>Mystery1</v>
      </c>
      <c r="C138" s="1" t="str" cm="1">
        <f t="array" ref="C138">_xlfn.XLOOKUP("GG",[1]Print_Summary!$O$23:$O$41,[1]Print_Summary!$P$23:$P$41)</f>
        <v>Queen</v>
      </c>
      <c r="D138" s="1" t="str" cm="1">
        <f t="array" ref="D138">_xlfn.XLOOKUP("EE",[1]Print_Summary!$O$23:$O$41,[1]Print_Summary!$P$23:$P$41)</f>
        <v>Ace</v>
      </c>
      <c r="E138" s="1" t="str" cm="1">
        <f t="array" ref="E138">_xlfn.XLOOKUP("MS",[1]Print_Summary!$O$23:$O$41,[1]Print_Summary!$P$23:$P$41)</f>
        <v>Mystery1</v>
      </c>
      <c r="F138" s="2" t="str" cm="1">
        <f t="array" ref="F138">_xlfn.XLOOKUP("FF",[1]Print_Summary!$O$23:$O$41,[1]Print_Summary!$P$23:$P$41)</f>
        <v>King</v>
      </c>
    </row>
    <row r="139" spans="1:6" ht="15.5">
      <c r="A139" s="7">
        <v>136</v>
      </c>
      <c r="B139" s="1" t="str" cm="1">
        <f t="array" ref="B139">_xlfn.XLOOKUP("MS",[1]Print_Summary!$O$23:$O$41,[1]Print_Summary!$P$23:$P$41)</f>
        <v>Mystery1</v>
      </c>
      <c r="C139" s="1" t="str" cm="1">
        <f t="array" ref="C139">_xlfn.XLOOKUP("AA",[1]Print_Summary!$O$23:$O$41,[1]Print_Summary!$P$23:$P$41)</f>
        <v>Ox</v>
      </c>
      <c r="D139" s="1" t="str" cm="1">
        <f t="array" ref="D139">_xlfn.XLOOKUP("HH",[1]Print_Summary!$O$23:$O$41,[1]Print_Summary!$P$23:$P$41)</f>
        <v>Jack</v>
      </c>
      <c r="E139" s="1" t="str" cm="1">
        <f t="array" ref="E139">_xlfn.XLOOKUP("MS",[1]Print_Summary!$O$23:$O$41,[1]Print_Summary!$P$23:$P$41)</f>
        <v>Mystery1</v>
      </c>
      <c r="F139" s="2" t="str" cm="1">
        <f t="array" ref="F139">_xlfn.XLOOKUP("MS",[1]Print_Summary!$O$23:$O$41,[1]Print_Summary!$P$23:$P$41)</f>
        <v>Mystery1</v>
      </c>
    </row>
    <row r="140" spans="1:6" ht="15.5">
      <c r="A140" s="7">
        <v>137</v>
      </c>
      <c r="B140" s="1" t="str" cm="1">
        <f t="array" ref="B140">_xlfn.XLOOKUP("MS",[1]Print_Summary!$O$23:$O$41,[1]Print_Summary!$P$23:$P$41)</f>
        <v>Mystery1</v>
      </c>
      <c r="C140" s="1" t="str" cm="1">
        <f t="array" ref="C140">_xlfn.XLOOKUP("EE",[1]Print_Summary!$O$23:$O$41,[1]Print_Summary!$P$23:$P$41)</f>
        <v>Ace</v>
      </c>
      <c r="D140" s="1" t="str" cm="1">
        <f t="array" ref="D140">_xlfn.XLOOKUP("FF",[1]Print_Summary!$O$23:$O$41,[1]Print_Summary!$P$23:$P$41)</f>
        <v>King</v>
      </c>
      <c r="E140" s="1" t="str" cm="1">
        <f t="array" ref="E140">_xlfn.XLOOKUP("FF",[1]Print_Summary!$O$23:$O$41,[1]Print_Summary!$P$23:$P$41)</f>
        <v>King</v>
      </c>
      <c r="F140" s="2" t="str" cm="1">
        <f t="array" ref="F140">_xlfn.XLOOKUP("MS",[1]Print_Summary!$O$23:$O$41,[1]Print_Summary!$P$23:$P$41)</f>
        <v>Mystery1</v>
      </c>
    </row>
    <row r="141" spans="1:6" ht="15.5">
      <c r="A141" s="7">
        <v>138</v>
      </c>
      <c r="B141" s="1" t="str" cm="1">
        <f t="array" ref="B141">_xlfn.XLOOKUP("MS",[1]Print_Summary!$O$23:$O$41,[1]Print_Summary!$P$23:$P$41)</f>
        <v>Mystery1</v>
      </c>
      <c r="C141" s="1" t="str" cm="1">
        <f t="array" ref="C141">_xlfn.XLOOKUP("BB",[1]Print_Summary!$O$23:$O$41,[1]Print_Summary!$P$23:$P$41)</f>
        <v>Pisces</v>
      </c>
      <c r="D141" s="1" t="str" cm="1">
        <f t="array" ref="D141">_xlfn.XLOOKUP("JJ",[1]Print_Summary!$O$23:$O$41,[1]Print_Summary!$P$23:$P$41)</f>
        <v>Ten</v>
      </c>
      <c r="E141" s="1" t="str" cm="1">
        <f t="array" ref="E141">_xlfn.XLOOKUP("DD",[1]Print_Summary!$O$23:$O$41,[1]Print_Summary!$P$23:$P$41)</f>
        <v>Arm Band</v>
      </c>
      <c r="F141" s="2" t="str" cm="1">
        <f t="array" ref="F141">_xlfn.XLOOKUP("MS",[1]Print_Summary!$O$23:$O$41,[1]Print_Summary!$P$23:$P$41)</f>
        <v>Mystery1</v>
      </c>
    </row>
    <row r="142" spans="1:6" ht="15.5">
      <c r="A142" s="7">
        <v>139</v>
      </c>
      <c r="B142" s="1" t="str" cm="1">
        <f t="array" ref="B142">_xlfn.XLOOKUP("MS",[1]Print_Summary!$O$23:$O$41,[1]Print_Summary!$P$23:$P$41)</f>
        <v>Mystery1</v>
      </c>
      <c r="C142" s="1" t="str" cm="1">
        <f t="array" ref="C142">_xlfn.XLOOKUP("BB",[1]Print_Summary!$O$23:$O$41,[1]Print_Summary!$P$23:$P$41)</f>
        <v>Pisces</v>
      </c>
      <c r="D142" s="1" t="str" cm="1">
        <f t="array" ref="D142">_xlfn.XLOOKUP("EE",[1]Print_Summary!$O$23:$O$41,[1]Print_Summary!$P$23:$P$41)</f>
        <v>Ace</v>
      </c>
      <c r="E142" s="1" t="str" cm="1">
        <f t="array" ref="E142">_xlfn.XLOOKUP("DD",[1]Print_Summary!$O$23:$O$41,[1]Print_Summary!$P$23:$P$41)</f>
        <v>Arm Band</v>
      </c>
      <c r="F142" s="2" t="str" cm="1">
        <f t="array" ref="F142">_xlfn.XLOOKUP("MS",[1]Print_Summary!$O$23:$O$41,[1]Print_Summary!$P$23:$P$41)</f>
        <v>Mystery1</v>
      </c>
    </row>
    <row r="143" spans="1:6" ht="15.5">
      <c r="A143" s="7">
        <v>140</v>
      </c>
      <c r="B143" s="1" t="str" cm="1">
        <f t="array" ref="B143">_xlfn.XLOOKUP("FF",[1]Print_Summary!$O$23:$O$41,[1]Print_Summary!$P$23:$P$41)</f>
        <v>King</v>
      </c>
      <c r="C143" s="1" t="str" cm="1">
        <f t="array" ref="C143">_xlfn.XLOOKUP("JJ",[1]Print_Summary!$O$23:$O$41,[1]Print_Summary!$P$23:$P$41)</f>
        <v>Ten</v>
      </c>
      <c r="D143" s="1" t="str" cm="1">
        <f t="array" ref="D143">_xlfn.XLOOKUP("MS",[1]Print_Summary!$O$23:$O$41,[1]Print_Summary!$P$23:$P$41)</f>
        <v>Mystery1</v>
      </c>
      <c r="E143" s="1" t="str" cm="1">
        <f t="array" ref="E143">_xlfn.XLOOKUP("EE",[1]Print_Summary!$O$23:$O$41,[1]Print_Summary!$P$23:$P$41)</f>
        <v>Ace</v>
      </c>
      <c r="F143" s="2" t="str" cm="1">
        <f t="array" ref="F143">_xlfn.XLOOKUP("MC",[1]Print_Summary!$O$23:$O$41,[1]Print_Summary!$P$23:$P$41)</f>
        <v>Mystery (Orb)</v>
      </c>
    </row>
    <row r="144" spans="1:6" ht="15.5">
      <c r="A144" s="7">
        <v>141</v>
      </c>
      <c r="B144" s="1" t="str" cm="1">
        <f t="array" ref="B144">_xlfn.XLOOKUP("AA",[1]Print_Summary!$O$23:$O$41,[1]Print_Summary!$P$23:$P$41)</f>
        <v>Ox</v>
      </c>
      <c r="C144" s="1" t="str" cm="1">
        <f t="array" ref="C144">_xlfn.XLOOKUP("CC",[1]Print_Summary!$O$23:$O$41,[1]Print_Summary!$P$23:$P$41)</f>
        <v>Wealth Pot</v>
      </c>
      <c r="D144" s="1" t="str" cm="1">
        <f t="array" ref="D144">_xlfn.XLOOKUP("MS",[1]Print_Summary!$O$23:$O$41,[1]Print_Summary!$P$23:$P$41)</f>
        <v>Mystery1</v>
      </c>
      <c r="E144" s="1" t="str" cm="1">
        <f t="array" ref="E144">_xlfn.XLOOKUP("BB",[1]Print_Summary!$O$23:$O$41,[1]Print_Summary!$P$23:$P$41)</f>
        <v>Pisces</v>
      </c>
      <c r="F144" s="2" t="str" cm="1">
        <f t="array" ref="F144">_xlfn.XLOOKUP("MC",[1]Print_Summary!$O$23:$O$41,[1]Print_Summary!$P$23:$P$41)</f>
        <v>Mystery (Orb)</v>
      </c>
    </row>
    <row r="145" spans="1:6" ht="15.5">
      <c r="A145" s="7">
        <v>142</v>
      </c>
      <c r="B145" s="1" t="str" cm="1">
        <f t="array" ref="B145">_xlfn.XLOOKUP("AA",[1]Print_Summary!$O$23:$O$41,[1]Print_Summary!$P$23:$P$41)</f>
        <v>Ox</v>
      </c>
      <c r="C145" s="1" t="str" cm="1">
        <f t="array" ref="C145">_xlfn.XLOOKUP("DD",[1]Print_Summary!$O$23:$O$41,[1]Print_Summary!$P$23:$P$41)</f>
        <v>Arm Band</v>
      </c>
      <c r="D145" s="1" t="str" cm="1">
        <f t="array" ref="D145">_xlfn.XLOOKUP("MS",[1]Print_Summary!$O$23:$O$41,[1]Print_Summary!$P$23:$P$41)</f>
        <v>Mystery1</v>
      </c>
      <c r="E145" s="1" t="str" cm="1">
        <f t="array" ref="E145">_xlfn.XLOOKUP("JJ",[1]Print_Summary!$O$23:$O$41,[1]Print_Summary!$P$23:$P$41)</f>
        <v>Ten</v>
      </c>
      <c r="F145" s="2" t="str" cm="1">
        <f t="array" ref="F145">_xlfn.XLOOKUP("MC",[1]Print_Summary!$O$23:$O$41,[1]Print_Summary!$P$23:$P$41)</f>
        <v>Mystery (Orb)</v>
      </c>
    </row>
    <row r="146" spans="1:6" ht="15.5">
      <c r="A146" s="7">
        <v>143</v>
      </c>
      <c r="B146" s="1" t="str" cm="1">
        <f t="array" ref="B146">_xlfn.XLOOKUP("EE",[1]Print_Summary!$O$23:$O$41,[1]Print_Summary!$P$23:$P$41)</f>
        <v>Ace</v>
      </c>
      <c r="C146" s="1" t="str" cm="1">
        <f t="array" ref="C146">_xlfn.XLOOKUP("FF",[1]Print_Summary!$O$23:$O$41,[1]Print_Summary!$P$23:$P$41)</f>
        <v>King</v>
      </c>
      <c r="D146" s="1" t="str" cm="1">
        <f t="array" ref="D146">_xlfn.XLOOKUP("MC",[1]Print_Summary!$O$23:$O$41,[1]Print_Summary!$P$23:$P$41)</f>
        <v>Mystery (Orb)</v>
      </c>
      <c r="E146" s="1" t="str" cm="1">
        <f t="array" ref="E146">_xlfn.XLOOKUP("GG",[1]Print_Summary!$O$23:$O$41,[1]Print_Summary!$P$23:$P$41)</f>
        <v>Queen</v>
      </c>
      <c r="F146" s="2" t="str" cm="1">
        <f t="array" ref="F146">_xlfn.XLOOKUP("MS",[1]Print_Summary!$O$23:$O$41,[1]Print_Summary!$P$23:$P$41)</f>
        <v>Mystery1</v>
      </c>
    </row>
    <row r="147" spans="1:6" ht="15.5">
      <c r="A147" s="7">
        <v>144</v>
      </c>
      <c r="B147" s="1" t="str" cm="1">
        <f t="array" ref="B147">_xlfn.XLOOKUP("EE",[1]Print_Summary!$O$23:$O$41,[1]Print_Summary!$P$23:$P$41)</f>
        <v>Ace</v>
      </c>
      <c r="C147" s="1" t="str" cm="1">
        <f t="array" ref="C147">_xlfn.XLOOKUP("GG",[1]Print_Summary!$O$23:$O$41,[1]Print_Summary!$P$23:$P$41)</f>
        <v>Queen</v>
      </c>
      <c r="D147" s="1" t="str" cm="1">
        <f t="array" ref="D147">_xlfn.XLOOKUP("MC",[1]Print_Summary!$O$23:$O$41,[1]Print_Summary!$P$23:$P$41)</f>
        <v>Mystery (Orb)</v>
      </c>
      <c r="E147" s="1" t="str" cm="1">
        <f t="array" ref="E147">_xlfn.XLOOKUP("CC",[1]Print_Summary!$O$23:$O$41,[1]Print_Summary!$P$23:$P$41)</f>
        <v>Wealth Pot</v>
      </c>
      <c r="F147" s="2" t="str" cm="1">
        <f t="array" ref="F147">_xlfn.XLOOKUP("MS",[1]Print_Summary!$O$23:$O$41,[1]Print_Summary!$P$23:$P$41)</f>
        <v>Mystery1</v>
      </c>
    </row>
    <row r="148" spans="1:6" ht="15.5">
      <c r="A148" s="7">
        <v>145</v>
      </c>
      <c r="B148" s="1" t="str" cm="1">
        <f t="array" ref="B148">_xlfn.XLOOKUP("BB",[1]Print_Summary!$O$23:$O$41,[1]Print_Summary!$P$23:$P$41)</f>
        <v>Pisces</v>
      </c>
      <c r="C148" s="1" t="str" cm="1">
        <f t="array" ref="C148">_xlfn.XLOOKUP("HH",[1]Print_Summary!$O$23:$O$41,[1]Print_Summary!$P$23:$P$41)</f>
        <v>Jack</v>
      </c>
      <c r="D148" s="1" t="str" cm="1">
        <f t="array" ref="D148">_xlfn.XLOOKUP("MC",[1]Print_Summary!$O$23:$O$41,[1]Print_Summary!$P$23:$P$41)</f>
        <v>Mystery (Orb)</v>
      </c>
      <c r="E148" s="1" t="str" cm="1">
        <f t="array" ref="E148">_xlfn.XLOOKUP("CC",[1]Print_Summary!$O$23:$O$41,[1]Print_Summary!$P$23:$P$41)</f>
        <v>Wealth Pot</v>
      </c>
      <c r="F148" s="2" t="str" cm="1">
        <f t="array" ref="F148">_xlfn.XLOOKUP("MS",[1]Print_Summary!$O$23:$O$41,[1]Print_Summary!$P$23:$P$41)</f>
        <v>Mystery1</v>
      </c>
    </row>
    <row r="149" spans="1:6" ht="15.5">
      <c r="A149" s="7">
        <v>146</v>
      </c>
      <c r="B149" s="1" t="str" cm="1">
        <f t="array" ref="B149">_xlfn.XLOOKUP("JJ",[1]Print_Summary!$O$23:$O$41,[1]Print_Summary!$P$23:$P$41)</f>
        <v>Ten</v>
      </c>
      <c r="C149" s="1" t="str" cm="1">
        <f t="array" ref="C149">_xlfn.XLOOKUP("CC",[1]Print_Summary!$O$23:$O$41,[1]Print_Summary!$P$23:$P$41)</f>
        <v>Wealth Pot</v>
      </c>
      <c r="D149" s="1" t="str" cm="1">
        <f t="array" ref="D149">_xlfn.XLOOKUP("MC",[1]Print_Summary!$O$23:$O$41,[1]Print_Summary!$P$23:$P$41)</f>
        <v>Mystery (Orb)</v>
      </c>
      <c r="E149" s="1" t="str" cm="1">
        <f t="array" ref="E149">_xlfn.XLOOKUP("HH",[1]Print_Summary!$O$23:$O$41,[1]Print_Summary!$P$23:$P$41)</f>
        <v>Jack</v>
      </c>
      <c r="F149" s="2" t="str" cm="1">
        <f t="array" ref="F149">_xlfn.XLOOKUP("MS",[1]Print_Summary!$O$23:$O$41,[1]Print_Summary!$P$23:$P$41)</f>
        <v>Mystery1</v>
      </c>
    </row>
    <row r="150" spans="1:6" ht="15.5">
      <c r="A150" s="7">
        <v>147</v>
      </c>
      <c r="B150" s="1" t="str" cm="1">
        <f t="array" ref="B150">_xlfn.XLOOKUP("AA",[1]Print_Summary!$O$23:$O$41,[1]Print_Summary!$P$23:$P$41)</f>
        <v>Ox</v>
      </c>
      <c r="C150" s="1" t="str" cm="1">
        <f t="array" ref="C150">_xlfn.XLOOKUP("MS",[1]Print_Summary!$O$23:$O$41,[1]Print_Summary!$P$23:$P$41)</f>
        <v>Mystery1</v>
      </c>
      <c r="D150" s="1" t="str" cm="1">
        <f t="array" ref="D150">_xlfn.XLOOKUP("MS",[1]Print_Summary!$O$23:$O$41,[1]Print_Summary!$P$23:$P$41)</f>
        <v>Mystery1</v>
      </c>
      <c r="E150" s="1" t="str" cm="1">
        <f t="array" ref="E150">_xlfn.XLOOKUP("WC",[1]Print_Summary!$O$23:$O$41,[1]Print_Summary!$P$23:$P$41)</f>
        <v>WILD</v>
      </c>
      <c r="F150" s="2" t="str" cm="1">
        <f t="array" ref="F150">_xlfn.XLOOKUP("MS",[1]Print_Summary!$O$23:$O$41,[1]Print_Summary!$P$23:$P$41)</f>
        <v>Mystery1</v>
      </c>
    </row>
    <row r="151" spans="1:6" ht="15.5">
      <c r="A151" s="7">
        <v>148</v>
      </c>
      <c r="B151" s="1" t="str" cm="1">
        <f t="array" ref="B151">_xlfn.XLOOKUP("AA",[1]Print_Summary!$O$23:$O$41,[1]Print_Summary!$P$23:$P$41)</f>
        <v>Ox</v>
      </c>
      <c r="C151" s="1" t="str" cm="1">
        <f t="array" ref="C151">_xlfn.XLOOKUP("MS",[1]Print_Summary!$O$23:$O$41,[1]Print_Summary!$P$23:$P$41)</f>
        <v>Mystery1</v>
      </c>
      <c r="D151" s="1" t="str" cm="1">
        <f t="array" ref="D151">_xlfn.XLOOKUP("MS",[1]Print_Summary!$O$23:$O$41,[1]Print_Summary!$P$23:$P$41)</f>
        <v>Mystery1</v>
      </c>
      <c r="E151" s="1" t="str" cm="1">
        <f t="array" ref="E151">_xlfn.XLOOKUP("WC",[1]Print_Summary!$O$23:$O$41,[1]Print_Summary!$P$23:$P$41)</f>
        <v>WILD</v>
      </c>
      <c r="F151" s="2" t="str" cm="1">
        <f t="array" ref="F151">_xlfn.XLOOKUP("MS",[1]Print_Summary!$O$23:$O$41,[1]Print_Summary!$P$23:$P$41)</f>
        <v>Mystery1</v>
      </c>
    </row>
    <row r="152" spans="1:6" ht="15.5">
      <c r="A152" s="7">
        <v>149</v>
      </c>
      <c r="B152" s="1" t="str" cm="1">
        <f t="array" ref="B152">_xlfn.XLOOKUP("FF",[1]Print_Summary!$O$23:$O$41,[1]Print_Summary!$P$23:$P$41)</f>
        <v>King</v>
      </c>
      <c r="C152" s="1" t="str" cm="1">
        <f t="array" ref="C152">_xlfn.XLOOKUP("MS",[1]Print_Summary!$O$23:$O$41,[1]Print_Summary!$P$23:$P$41)</f>
        <v>Mystery1</v>
      </c>
      <c r="D152" s="1" t="str" cm="1">
        <f t="array" ref="D152">_xlfn.XLOOKUP("MS",[1]Print_Summary!$O$23:$O$41,[1]Print_Summary!$P$23:$P$41)</f>
        <v>Mystery1</v>
      </c>
      <c r="E152" s="1" t="str" cm="1">
        <f t="array" ref="E152">_xlfn.XLOOKUP("GG",[1]Print_Summary!$O$23:$O$41,[1]Print_Summary!$P$23:$P$41)</f>
        <v>Queen</v>
      </c>
      <c r="F152" s="2" t="str" cm="1">
        <f t="array" ref="F152">_xlfn.XLOOKUP("MS",[1]Print_Summary!$O$23:$O$41,[1]Print_Summary!$P$23:$P$41)</f>
        <v>Mystery1</v>
      </c>
    </row>
    <row r="153" spans="1:6" ht="15.5">
      <c r="A153" s="7">
        <v>150</v>
      </c>
      <c r="B153" s="1" t="str" cm="1">
        <f t="array" ref="B153">_xlfn.XLOOKUP("WC",[1]Print_Summary!$O$23:$O$41,[1]Print_Summary!$P$23:$P$41)</f>
        <v>WILD</v>
      </c>
      <c r="C153" s="1" t="str" cm="1">
        <f t="array" ref="C153">_xlfn.XLOOKUP("MS",[1]Print_Summary!$O$23:$O$41,[1]Print_Summary!$P$23:$P$41)</f>
        <v>Mystery1</v>
      </c>
      <c r="D153" s="1" t="str" cm="1">
        <f t="array" ref="D153">_xlfn.XLOOKUP("MS",[1]Print_Summary!$O$23:$O$41,[1]Print_Summary!$P$23:$P$41)</f>
        <v>Mystery1</v>
      </c>
      <c r="E153" s="1" t="str" cm="1">
        <f t="array" ref="E153">_xlfn.XLOOKUP("DD",[1]Print_Summary!$O$23:$O$41,[1]Print_Summary!$P$23:$P$41)</f>
        <v>Arm Band</v>
      </c>
      <c r="F153" s="2" t="str" cm="1">
        <f t="array" ref="F153">_xlfn.XLOOKUP("MS",[1]Print_Summary!$O$23:$O$41,[1]Print_Summary!$P$23:$P$41)</f>
        <v>Mystery1</v>
      </c>
    </row>
    <row r="154" spans="1:6" ht="15.5">
      <c r="A154" s="7">
        <v>151</v>
      </c>
      <c r="B154" s="1" t="str" cm="1">
        <f t="array" ref="B154">_xlfn.XLOOKUP("EE",[1]Print_Summary!$O$23:$O$41,[1]Print_Summary!$P$23:$P$41)</f>
        <v>Ace</v>
      </c>
      <c r="C154" s="1" t="str" cm="1">
        <f t="array" ref="C154">_xlfn.XLOOKUP("MC",[1]Print_Summary!$O$23:$O$41,[1]Print_Summary!$P$23:$P$41)</f>
        <v>Mystery (Orb)</v>
      </c>
      <c r="D154" s="1" t="str" cm="1">
        <f t="array" ref="D154">_xlfn.XLOOKUP("MS",[1]Print_Summary!$O$23:$O$41,[1]Print_Summary!$P$23:$P$41)</f>
        <v>Mystery1</v>
      </c>
      <c r="E154" s="1" t="str" cm="1">
        <f t="array" ref="E154">_xlfn.XLOOKUP("EE",[1]Print_Summary!$O$23:$O$41,[1]Print_Summary!$P$23:$P$41)</f>
        <v>Ace</v>
      </c>
      <c r="F154" s="2" t="str" cm="1">
        <f t="array" ref="F154">_xlfn.XLOOKUP("HH",[1]Print_Summary!$O$23:$O$41,[1]Print_Summary!$P$23:$P$41)</f>
        <v>Jack</v>
      </c>
    </row>
    <row r="155" spans="1:6" ht="15.5">
      <c r="A155" s="7">
        <v>152</v>
      </c>
      <c r="B155" s="1" t="str" cm="1">
        <f t="array" ref="B155">_xlfn.XLOOKUP("CC",[1]Print_Summary!$O$23:$O$41,[1]Print_Summary!$P$23:$P$41)</f>
        <v>Wealth Pot</v>
      </c>
      <c r="C155" s="1" t="str" cm="1">
        <f t="array" ref="C155">_xlfn.XLOOKUP("MC",[1]Print_Summary!$O$23:$O$41,[1]Print_Summary!$P$23:$P$41)</f>
        <v>Mystery (Orb)</v>
      </c>
      <c r="D155" s="1" t="str" cm="1">
        <f t="array" ref="D155">_xlfn.XLOOKUP("MS",[1]Print_Summary!$O$23:$O$41,[1]Print_Summary!$P$23:$P$41)</f>
        <v>Mystery1</v>
      </c>
      <c r="E155" s="1" t="str" cm="1">
        <f t="array" ref="E155">_xlfn.XLOOKUP("BB",[1]Print_Summary!$O$23:$O$41,[1]Print_Summary!$P$23:$P$41)</f>
        <v>Pisces</v>
      </c>
      <c r="F155" s="2" t="str" cm="1">
        <f t="array" ref="F155">_xlfn.XLOOKUP("FF",[1]Print_Summary!$O$23:$O$41,[1]Print_Summary!$P$23:$P$41)</f>
        <v>King</v>
      </c>
    </row>
    <row r="156" spans="1:6" ht="15.5">
      <c r="A156" s="7">
        <v>153</v>
      </c>
      <c r="B156" s="1" t="str" cm="1">
        <f t="array" ref="B156">_xlfn.XLOOKUP("HH",[1]Print_Summary!$O$23:$O$41,[1]Print_Summary!$P$23:$P$41)</f>
        <v>Jack</v>
      </c>
      <c r="C156" s="1" t="str" cm="1">
        <f t="array" ref="C156">_xlfn.XLOOKUP("MC",[1]Print_Summary!$O$23:$O$41,[1]Print_Summary!$P$23:$P$41)</f>
        <v>Mystery (Orb)</v>
      </c>
      <c r="D156" s="1" t="str" cm="1">
        <f t="array" ref="D156">_xlfn.XLOOKUP("MS",[1]Print_Summary!$O$23:$O$41,[1]Print_Summary!$P$23:$P$41)</f>
        <v>Mystery1</v>
      </c>
      <c r="E156" s="1" t="str" cm="1">
        <f t="array" ref="E156">_xlfn.XLOOKUP("BB",[1]Print_Summary!$O$23:$O$41,[1]Print_Summary!$P$23:$P$41)</f>
        <v>Pisces</v>
      </c>
      <c r="F156" s="2" t="str" cm="1">
        <f t="array" ref="F156">_xlfn.XLOOKUP("CC",[1]Print_Summary!$O$23:$O$41,[1]Print_Summary!$P$23:$P$41)</f>
        <v>Wealth Pot</v>
      </c>
    </row>
    <row r="157" spans="1:6" ht="15.5">
      <c r="A157" s="7">
        <v>154</v>
      </c>
      <c r="B157" s="1" t="str" cm="1">
        <f t="array" ref="B157">_xlfn.XLOOKUP("HH",[1]Print_Summary!$O$23:$O$41,[1]Print_Summary!$P$23:$P$41)</f>
        <v>Jack</v>
      </c>
      <c r="C157" s="1" t="str" cm="1">
        <f t="array" ref="C157">_xlfn.XLOOKUP("MS",[1]Print_Summary!$O$23:$O$41,[1]Print_Summary!$P$23:$P$41)</f>
        <v>Mystery1</v>
      </c>
      <c r="D157" s="1" t="str" cm="1">
        <f t="array" ref="D157">_xlfn.XLOOKUP("GG",[1]Print_Summary!$O$23:$O$41,[1]Print_Summary!$P$23:$P$41)</f>
        <v>Queen</v>
      </c>
      <c r="E157" s="1" t="str" cm="1">
        <f t="array" ref="E157">_xlfn.XLOOKUP("HH",[1]Print_Summary!$O$23:$O$41,[1]Print_Summary!$P$23:$P$41)</f>
        <v>Jack</v>
      </c>
      <c r="F157" s="2" t="str" cm="1">
        <f t="array" ref="F157">_xlfn.XLOOKUP("CC",[1]Print_Summary!$O$23:$O$41,[1]Print_Summary!$P$23:$P$41)</f>
        <v>Wealth Pot</v>
      </c>
    </row>
    <row r="158" spans="1:6" ht="15.5">
      <c r="A158" s="7">
        <v>155</v>
      </c>
      <c r="B158" s="1" t="str" cm="1">
        <f t="array" ref="B158">_xlfn.XLOOKUP("SC",[1]Print_Summary!$O$23:$O$41,[1]Print_Summary!$P$23:$P$41)</f>
        <v>Orb</v>
      </c>
      <c r="C158" s="1" t="str" cm="1">
        <f t="array" ref="C158">_xlfn.XLOOKUP("MS",[1]Print_Summary!$O$23:$O$41,[1]Print_Summary!$P$23:$P$41)</f>
        <v>Mystery1</v>
      </c>
      <c r="D158" s="1" t="str" cm="1">
        <f t="array" ref="D158">_xlfn.XLOOKUP("BB",[1]Print_Summary!$O$23:$O$41,[1]Print_Summary!$P$23:$P$41)</f>
        <v>Pisces</v>
      </c>
      <c r="E158" s="1" t="str" cm="1">
        <f t="array" ref="E158">_xlfn.XLOOKUP("EE",[1]Print_Summary!$O$23:$O$41,[1]Print_Summary!$P$23:$P$41)</f>
        <v>Ace</v>
      </c>
      <c r="F158" s="2" t="str" cm="1">
        <f t="array" ref="F158">_xlfn.XLOOKUP("HH",[1]Print_Summary!$O$23:$O$41,[1]Print_Summary!$P$23:$P$41)</f>
        <v>Jack</v>
      </c>
    </row>
    <row r="159" spans="1:6" ht="15.5">
      <c r="A159" s="7">
        <v>156</v>
      </c>
      <c r="B159" s="1" t="str" cm="1">
        <f t="array" ref="B159">_xlfn.XLOOKUP("SC",[1]Print_Summary!$O$23:$O$41,[1]Print_Summary!$P$23:$P$41)</f>
        <v>Orb</v>
      </c>
      <c r="C159" s="1" t="str" cm="1">
        <f t="array" ref="C159">_xlfn.XLOOKUP("MS",[1]Print_Summary!$O$23:$O$41,[1]Print_Summary!$P$23:$P$41)</f>
        <v>Mystery1</v>
      </c>
      <c r="D159" s="1" t="str" cm="1">
        <f t="array" ref="D159">_xlfn.XLOOKUP("EE",[1]Print_Summary!$O$23:$O$41,[1]Print_Summary!$P$23:$P$41)</f>
        <v>Ace</v>
      </c>
      <c r="E159" s="1" t="str" cm="1">
        <f t="array" ref="E159">_xlfn.XLOOKUP("FF",[1]Print_Summary!$O$23:$O$41,[1]Print_Summary!$P$23:$P$41)</f>
        <v>King</v>
      </c>
      <c r="F159" s="2" t="str" cm="1">
        <f t="array" ref="F159">_xlfn.XLOOKUP("SC",[1]Print_Summary!$O$23:$O$41,[1]Print_Summary!$P$23:$P$41)</f>
        <v>Orb</v>
      </c>
    </row>
    <row r="160" spans="1:6" ht="15.5">
      <c r="A160" s="7">
        <v>157</v>
      </c>
      <c r="B160" s="1" t="str" cm="1">
        <f t="array" ref="B160">_xlfn.XLOOKUP("SC",[1]Print_Summary!$O$23:$O$41,[1]Print_Summary!$P$23:$P$41)</f>
        <v>Orb</v>
      </c>
      <c r="C160" s="1" t="str" cm="1">
        <f t="array" ref="C160">_xlfn.XLOOKUP("MS",[1]Print_Summary!$O$23:$O$41,[1]Print_Summary!$P$23:$P$41)</f>
        <v>Mystery1</v>
      </c>
      <c r="D160" s="1" t="str" cm="1">
        <f t="array" ref="D160">_xlfn.XLOOKUP("CC",[1]Print_Summary!$O$23:$O$41,[1]Print_Summary!$P$23:$P$41)</f>
        <v>Wealth Pot</v>
      </c>
      <c r="E160" s="1" t="str" cm="1">
        <f t="array" ref="E160">_xlfn.XLOOKUP("CC",[1]Print_Summary!$O$23:$O$41,[1]Print_Summary!$P$23:$P$41)</f>
        <v>Wealth Pot</v>
      </c>
      <c r="F160" s="2" t="str" cm="1">
        <f t="array" ref="F160">_xlfn.XLOOKUP("SC",[1]Print_Summary!$O$23:$O$41,[1]Print_Summary!$P$23:$P$41)</f>
        <v>Orb</v>
      </c>
    </row>
    <row r="161" spans="1:6" ht="15.5">
      <c r="A161" s="7">
        <v>158</v>
      </c>
      <c r="B161" s="1" t="str" cm="1">
        <f t="array" ref="B161">_xlfn.XLOOKUP("HH",[1]Print_Summary!$O$23:$O$41,[1]Print_Summary!$P$23:$P$41)</f>
        <v>Jack</v>
      </c>
      <c r="C161" s="1" t="str" cm="1">
        <f t="array" ref="C161">_xlfn.XLOOKUP("MS",[1]Print_Summary!$O$23:$O$41,[1]Print_Summary!$P$23:$P$41)</f>
        <v>Mystery1</v>
      </c>
      <c r="D161" s="1" t="str" cm="1">
        <f t="array" ref="D161">_xlfn.XLOOKUP("GG",[1]Print_Summary!$O$23:$O$41,[1]Print_Summary!$P$23:$P$41)</f>
        <v>Queen</v>
      </c>
      <c r="E161" s="1" t="str" cm="1">
        <f t="array" ref="E161">_xlfn.XLOOKUP("WC",[1]Print_Summary!$O$23:$O$41,[1]Print_Summary!$P$23:$P$41)</f>
        <v>WILD</v>
      </c>
      <c r="F161" s="2" t="str" cm="1">
        <f t="array" ref="F161">_xlfn.XLOOKUP("FF",[1]Print_Summary!$O$23:$O$41,[1]Print_Summary!$P$23:$P$41)</f>
        <v>King</v>
      </c>
    </row>
    <row r="162" spans="1:6" ht="15.5">
      <c r="A162" s="7">
        <v>159</v>
      </c>
      <c r="B162" s="1" t="str" cm="1">
        <f t="array" ref="B162">_xlfn.XLOOKUP("GG",[1]Print_Summary!$O$23:$O$41,[1]Print_Summary!$P$23:$P$41)</f>
        <v>Queen</v>
      </c>
      <c r="C162" s="1" t="str" cm="1">
        <f t="array" ref="C162">_xlfn.XLOOKUP("MS",[1]Print_Summary!$O$23:$O$41,[1]Print_Summary!$P$23:$P$41)</f>
        <v>Mystery1</v>
      </c>
      <c r="D162" s="1" t="str" cm="1">
        <f t="array" ref="D162">_xlfn.XLOOKUP("HH",[1]Print_Summary!$O$23:$O$41,[1]Print_Summary!$P$23:$P$41)</f>
        <v>Jack</v>
      </c>
      <c r="E162" s="1" t="str" cm="1">
        <f t="array" ref="E162">_xlfn.XLOOKUP("DD",[1]Print_Summary!$O$23:$O$41,[1]Print_Summary!$P$23:$P$41)</f>
        <v>Arm Band</v>
      </c>
      <c r="F162" s="2" t="str" cm="1">
        <f t="array" ref="F162">_xlfn.XLOOKUP("BB",[1]Print_Summary!$O$23:$O$41,[1]Print_Summary!$P$23:$P$41)</f>
        <v>Pisces</v>
      </c>
    </row>
    <row r="163" spans="1:6" ht="15.5">
      <c r="A163" s="7">
        <v>160</v>
      </c>
      <c r="B163" s="1" t="str" cm="1">
        <f t="array" ref="B163">_xlfn.XLOOKUP("BB",[1]Print_Summary!$O$23:$O$41,[1]Print_Summary!$P$23:$P$41)</f>
        <v>Pisces</v>
      </c>
      <c r="C163" s="1" t="str" cm="1">
        <f t="array" ref="C163">_xlfn.XLOOKUP("MS",[1]Print_Summary!$O$23:$O$41,[1]Print_Summary!$P$23:$P$41)</f>
        <v>Mystery1</v>
      </c>
      <c r="D163" s="1" t="str" cm="1">
        <f t="array" ref="D163">_xlfn.XLOOKUP("FF",[1]Print_Summary!$O$23:$O$41,[1]Print_Summary!$P$23:$P$41)</f>
        <v>King</v>
      </c>
      <c r="E163" s="1" t="str" cm="1">
        <f t="array" ref="E163">_xlfn.XLOOKUP("GG",[1]Print_Summary!$O$23:$O$41,[1]Print_Summary!$P$23:$P$41)</f>
        <v>Queen</v>
      </c>
      <c r="F163" s="2" t="str" cm="1">
        <f t="array" ref="F163">_xlfn.XLOOKUP("BB",[1]Print_Summary!$O$23:$O$41,[1]Print_Summary!$P$23:$P$41)</f>
        <v>Pisces</v>
      </c>
    </row>
    <row r="164" spans="1:6" ht="15.5">
      <c r="A164" s="7">
        <v>161</v>
      </c>
      <c r="B164" s="1" t="str" cm="1">
        <f t="array" ref="B164">_xlfn.XLOOKUP("FF",[1]Print_Summary!$O$23:$O$41,[1]Print_Summary!$P$23:$P$41)</f>
        <v>King</v>
      </c>
      <c r="C164" s="1" t="str" cm="1">
        <f t="array" ref="C164">_xlfn.XLOOKUP("FF",[1]Print_Summary!$O$23:$O$41,[1]Print_Summary!$P$23:$P$41)</f>
        <v>King</v>
      </c>
      <c r="D164" s="1" t="str" cm="1">
        <f t="array" ref="D164">_xlfn.XLOOKUP("CC",[1]Print_Summary!$O$23:$O$41,[1]Print_Summary!$P$23:$P$41)</f>
        <v>Wealth Pot</v>
      </c>
      <c r="E164" s="1" t="str" cm="1">
        <f t="array" ref="E164">_xlfn.XLOOKUP("GG",[1]Print_Summary!$O$23:$O$41,[1]Print_Summary!$P$23:$P$41)</f>
        <v>Queen</v>
      </c>
      <c r="F164" s="2" t="str" cm="1">
        <f t="array" ref="F164">_xlfn.XLOOKUP("EE",[1]Print_Summary!$O$23:$O$41,[1]Print_Summary!$P$23:$P$41)</f>
        <v>Ace</v>
      </c>
    </row>
    <row r="165" spans="1:6" ht="15.5">
      <c r="A165" s="7">
        <v>162</v>
      </c>
      <c r="B165" s="1" t="str" cm="1">
        <f t="array" ref="B165">_xlfn.XLOOKUP("FF",[1]Print_Summary!$O$23:$O$41,[1]Print_Summary!$P$23:$P$41)</f>
        <v>King</v>
      </c>
      <c r="C165" s="1" t="str" cm="1">
        <f t="array" ref="C165">_xlfn.XLOOKUP("EE",[1]Print_Summary!$O$23:$O$41,[1]Print_Summary!$P$23:$P$41)</f>
        <v>Ace</v>
      </c>
      <c r="D165" s="1" t="str" cm="1">
        <f t="array" ref="D165">_xlfn.XLOOKUP("GG",[1]Print_Summary!$O$23:$O$41,[1]Print_Summary!$P$23:$P$41)</f>
        <v>Queen</v>
      </c>
      <c r="E165" s="1" t="str" cm="1">
        <f t="array" ref="E165">_xlfn.XLOOKUP("FF",[1]Print_Summary!$O$23:$O$41,[1]Print_Summary!$P$23:$P$41)</f>
        <v>King</v>
      </c>
      <c r="F165" s="2" t="str" cm="1">
        <f t="array" ref="F165">_xlfn.XLOOKUP("JJ",[1]Print_Summary!$O$23:$O$41,[1]Print_Summary!$P$23:$P$41)</f>
        <v>Ten</v>
      </c>
    </row>
    <row r="166" spans="1:6" ht="15.5">
      <c r="A166" s="7">
        <v>163</v>
      </c>
      <c r="B166" s="1" t="str" cm="1">
        <f t="array" ref="B166">_xlfn.XLOOKUP("DD",[1]Print_Summary!$O$23:$O$41,[1]Print_Summary!$P$23:$P$41)</f>
        <v>Arm Band</v>
      </c>
      <c r="C166" s="1" t="str" cm="1">
        <f t="array" ref="C166">_xlfn.XLOOKUP("CC",[1]Print_Summary!$O$23:$O$41,[1]Print_Summary!$P$23:$P$41)</f>
        <v>Wealth Pot</v>
      </c>
      <c r="D166" s="1" t="str" cm="1">
        <f t="array" ref="D166">_xlfn.XLOOKUP("SC",[1]Print_Summary!$O$23:$O$41,[1]Print_Summary!$P$23:$P$41)</f>
        <v>Orb</v>
      </c>
      <c r="E166" s="1" t="str" cm="1">
        <f t="array" ref="E166">_xlfn.XLOOKUP("EE",[1]Print_Summary!$O$23:$O$41,[1]Print_Summary!$P$23:$P$41)</f>
        <v>Ace</v>
      </c>
      <c r="F166" s="2" t="str" cm="1">
        <f t="array" ref="F166">_xlfn.XLOOKUP("DD",[1]Print_Summary!$O$23:$O$41,[1]Print_Summary!$P$23:$P$41)</f>
        <v>Arm Band</v>
      </c>
    </row>
    <row r="167" spans="1:6" ht="15.5">
      <c r="A167" s="7">
        <v>164</v>
      </c>
      <c r="B167" s="1" t="str" cm="1">
        <f t="array" ref="B167">_xlfn.XLOOKUP("GG",[1]Print_Summary!$O$23:$O$41,[1]Print_Summary!$P$23:$P$41)</f>
        <v>Queen</v>
      </c>
      <c r="C167" s="1" t="str" cm="1">
        <f t="array" ref="C167">_xlfn.XLOOKUP("CC",[1]Print_Summary!$O$23:$O$41,[1]Print_Summary!$P$23:$P$41)</f>
        <v>Wealth Pot</v>
      </c>
      <c r="D167" s="1" t="str" cm="1">
        <f t="array" ref="D167">_xlfn.XLOOKUP("MO",[1]Print_Summary!$O$23:$O$41,[1]Print_Summary!$P$23:$P$41)</f>
        <v>Mystery2</v>
      </c>
      <c r="E167" s="1" t="str" cm="1">
        <f t="array" ref="E167">_xlfn.XLOOKUP("CC",[1]Print_Summary!$O$23:$O$41,[1]Print_Summary!$P$23:$P$41)</f>
        <v>Wealth Pot</v>
      </c>
      <c r="F167" s="2" t="str" cm="1">
        <f t="array" ref="F167">_xlfn.XLOOKUP("DD",[1]Print_Summary!$O$23:$O$41,[1]Print_Summary!$P$23:$P$41)</f>
        <v>Arm Band</v>
      </c>
    </row>
    <row r="168" spans="1:6" ht="15.5">
      <c r="A168" s="7">
        <v>165</v>
      </c>
      <c r="B168" s="1" t="str" cm="1">
        <f t="array" ref="B168">_xlfn.XLOOKUP("WC",[1]Print_Summary!$O$23:$O$41,[1]Print_Summary!$P$23:$P$41)</f>
        <v>WILD</v>
      </c>
      <c r="C168" s="1" t="str" cm="1">
        <f t="array" ref="C168">_xlfn.XLOOKUP("JJ",[1]Print_Summary!$O$23:$O$41,[1]Print_Summary!$P$23:$P$41)</f>
        <v>Ten</v>
      </c>
      <c r="D168" s="1" t="str" cm="1">
        <f t="array" ref="D168">_xlfn.XLOOKUP("SC",[1]Print_Summary!$O$23:$O$41,[1]Print_Summary!$P$23:$P$41)</f>
        <v>Orb</v>
      </c>
      <c r="E168" s="1" t="str" cm="1">
        <f t="array" ref="E168">_xlfn.XLOOKUP("JJ",[1]Print_Summary!$O$23:$O$41,[1]Print_Summary!$P$23:$P$41)</f>
        <v>Ten</v>
      </c>
      <c r="F168" s="2" t="str" cm="1">
        <f t="array" ref="F168">_xlfn.XLOOKUP("HH",[1]Print_Summary!$O$23:$O$41,[1]Print_Summary!$P$23:$P$41)</f>
        <v>Jack</v>
      </c>
    </row>
    <row r="169" spans="1:6" ht="15.5">
      <c r="A169" s="7">
        <v>166</v>
      </c>
      <c r="B169" s="1" t="str" cm="1">
        <f t="array" ref="B169">_xlfn.XLOOKUP("EE",[1]Print_Summary!$O$23:$O$41,[1]Print_Summary!$P$23:$P$41)</f>
        <v>Ace</v>
      </c>
      <c r="C169" s="1" t="str" cm="1">
        <f t="array" ref="C169">_xlfn.XLOOKUP("WC",[1]Print_Summary!$O$23:$O$41,[1]Print_Summary!$P$23:$P$41)</f>
        <v>WILD</v>
      </c>
      <c r="D169" s="1" t="str" cm="1">
        <f t="array" ref="D169">_xlfn.XLOOKUP("FF",[1]Print_Summary!$O$23:$O$41,[1]Print_Summary!$P$23:$P$41)</f>
        <v>King</v>
      </c>
      <c r="E169" s="1" t="str" cm="1">
        <f t="array" ref="E169">_xlfn.XLOOKUP("AA",[1]Print_Summary!$O$23:$O$41,[1]Print_Summary!$P$23:$P$41)</f>
        <v>Ox</v>
      </c>
      <c r="F169" s="2" t="str" cm="1">
        <f t="array" ref="F169">_xlfn.XLOOKUP("WC",[1]Print_Summary!$O$23:$O$41,[1]Print_Summary!$P$23:$P$41)</f>
        <v>WILD</v>
      </c>
    </row>
    <row r="170" spans="1:6" ht="15.5">
      <c r="A170" s="7">
        <v>167</v>
      </c>
      <c r="B170" s="1" t="str" cm="1">
        <f t="array" ref="B170">_xlfn.XLOOKUP("AA",[1]Print_Summary!$O$23:$O$41,[1]Print_Summary!$P$23:$P$41)</f>
        <v>Ox</v>
      </c>
      <c r="C170" s="1" t="str" cm="1">
        <f t="array" ref="C170">_xlfn.XLOOKUP("JJ",[1]Print_Summary!$O$23:$O$41,[1]Print_Summary!$P$23:$P$41)</f>
        <v>Ten</v>
      </c>
      <c r="D170" s="1" t="str" cm="1">
        <f t="array" ref="D170">_xlfn.XLOOKUP("GG",[1]Print_Summary!$O$23:$O$41,[1]Print_Summary!$P$23:$P$41)</f>
        <v>Queen</v>
      </c>
      <c r="E170" s="1" t="str" cm="1">
        <f t="array" ref="E170">_xlfn.XLOOKUP("FF",[1]Print_Summary!$O$23:$O$41,[1]Print_Summary!$P$23:$P$41)</f>
        <v>King</v>
      </c>
      <c r="F170" s="2" t="str" cm="1">
        <f t="array" ref="F170">_xlfn.XLOOKUP("WC",[1]Print_Summary!$O$23:$O$41,[1]Print_Summary!$P$23:$P$41)</f>
        <v>WILD</v>
      </c>
    </row>
    <row r="171" spans="1:6" ht="15.5">
      <c r="A171" s="7">
        <v>168</v>
      </c>
      <c r="B171" s="1" t="str" cm="1">
        <f t="array" ref="B171">_xlfn.XLOOKUP("GG",[1]Print_Summary!$O$23:$O$41,[1]Print_Summary!$P$23:$P$41)</f>
        <v>Queen</v>
      </c>
      <c r="C171" s="1" t="str" cm="1">
        <f t="array" ref="C171">_xlfn.XLOOKUP("CC",[1]Print_Summary!$O$23:$O$41,[1]Print_Summary!$P$23:$P$41)</f>
        <v>Wealth Pot</v>
      </c>
      <c r="D171" s="1" t="str" cm="1">
        <f t="array" ref="D171">_xlfn.XLOOKUP("CC",[1]Print_Summary!$O$23:$O$41,[1]Print_Summary!$P$23:$P$41)</f>
        <v>Wealth Pot</v>
      </c>
      <c r="E171" s="1" t="str" cm="1">
        <f t="array" ref="E171">_xlfn.XLOOKUP("FG",[1]Print_Summary!$O$23:$O$41,[1]Print_Summary!$P$23:$P$41)</f>
        <v>Free Games</v>
      </c>
      <c r="F171" s="2" t="str" cm="1">
        <f t="array" ref="F171">_xlfn.XLOOKUP("WC",[1]Print_Summary!$O$23:$O$41,[1]Print_Summary!$P$23:$P$41)</f>
        <v>WILD</v>
      </c>
    </row>
    <row r="172" spans="1:6" ht="15.5">
      <c r="A172" s="7">
        <v>169</v>
      </c>
      <c r="B172" s="1" t="str" cm="1">
        <f t="array" ref="B172">_xlfn.XLOOKUP("CC",[1]Print_Summary!$O$23:$O$41,[1]Print_Summary!$P$23:$P$41)</f>
        <v>Wealth Pot</v>
      </c>
      <c r="C172" s="1" t="str" cm="1">
        <f t="array" ref="C172">_xlfn.XLOOKUP("EE",[1]Print_Summary!$O$23:$O$41,[1]Print_Summary!$P$23:$P$41)</f>
        <v>Ace</v>
      </c>
      <c r="D172" s="1" t="str" cm="1">
        <f t="array" ref="D172">_xlfn.XLOOKUP("HH",[1]Print_Summary!$O$23:$O$41,[1]Print_Summary!$P$23:$P$41)</f>
        <v>Jack</v>
      </c>
      <c r="E172" s="1" t="str" cm="1">
        <f t="array" ref="E172">_xlfn.XLOOKUP("JJ",[1]Print_Summary!$O$23:$O$41,[1]Print_Summary!$P$23:$P$41)</f>
        <v>Ten</v>
      </c>
      <c r="F172" s="2" t="str" cm="1">
        <f t="array" ref="F172">_xlfn.XLOOKUP("EE",[1]Print_Summary!$O$23:$O$41,[1]Print_Summary!$P$23:$P$41)</f>
        <v>Ace</v>
      </c>
    </row>
    <row r="173" spans="1:6" ht="15.5">
      <c r="A173" s="7">
        <v>170</v>
      </c>
      <c r="B173" s="1" t="str" cm="1">
        <f t="array" ref="B173">_xlfn.XLOOKUP("CC",[1]Print_Summary!$O$23:$O$41,[1]Print_Summary!$P$23:$P$41)</f>
        <v>Wealth Pot</v>
      </c>
      <c r="C173" s="1" t="str" cm="1">
        <f t="array" ref="C173">_xlfn.XLOOKUP("GG",[1]Print_Summary!$O$23:$O$41,[1]Print_Summary!$P$23:$P$41)</f>
        <v>Queen</v>
      </c>
      <c r="D173" s="1" t="str" cm="1">
        <f t="array" ref="D173">_xlfn.XLOOKUP("FG",[1]Print_Summary!$O$23:$O$41,[1]Print_Summary!$P$23:$P$41)</f>
        <v>Free Games</v>
      </c>
      <c r="E173" s="1" t="str" cm="1">
        <f t="array" ref="E173">_xlfn.XLOOKUP("CC",[1]Print_Summary!$O$23:$O$41,[1]Print_Summary!$P$23:$P$41)</f>
        <v>Wealth Pot</v>
      </c>
      <c r="F173" s="2" t="str" cm="1">
        <f t="array" ref="F173">_xlfn.XLOOKUP("GG",[1]Print_Summary!$O$23:$O$41,[1]Print_Summary!$P$23:$P$41)</f>
        <v>Queen</v>
      </c>
    </row>
    <row r="174" spans="1:6" ht="15.5">
      <c r="A174" s="7">
        <v>171</v>
      </c>
      <c r="B174" s="1" t="str" cm="1">
        <f t="array" ref="B174">_xlfn.XLOOKUP("HH",[1]Print_Summary!$O$23:$O$41,[1]Print_Summary!$P$23:$P$41)</f>
        <v>Jack</v>
      </c>
      <c r="C174" s="1" t="str" cm="1">
        <f t="array" ref="C174">_xlfn.XLOOKUP("HH",[1]Print_Summary!$O$23:$O$41,[1]Print_Summary!$P$23:$P$41)</f>
        <v>Jack</v>
      </c>
      <c r="D174" s="1" t="str" cm="1">
        <f t="array" ref="D174">_xlfn.XLOOKUP("FF",[1]Print_Summary!$O$23:$O$41,[1]Print_Summary!$P$23:$P$41)</f>
        <v>King</v>
      </c>
      <c r="E174" s="1" t="str" cm="1">
        <f t="array" ref="E174">_xlfn.XLOOKUP("CC",[1]Print_Summary!$O$23:$O$41,[1]Print_Summary!$P$23:$P$41)</f>
        <v>Wealth Pot</v>
      </c>
      <c r="F174" s="2" t="str" cm="1">
        <f t="array" ref="F174">_xlfn.XLOOKUP("BB",[1]Print_Summary!$O$23:$O$41,[1]Print_Summary!$P$23:$P$41)</f>
        <v>Pisces</v>
      </c>
    </row>
    <row r="175" spans="1:6" ht="15.5">
      <c r="A175" s="7">
        <v>172</v>
      </c>
      <c r="B175" s="1" t="str" cm="1">
        <f t="array" ref="B175">_xlfn.XLOOKUP("FF",[1]Print_Summary!$O$23:$O$41,[1]Print_Summary!$P$23:$P$41)</f>
        <v>King</v>
      </c>
      <c r="C175" s="1" t="str" cm="1">
        <f t="array" ref="C175">_xlfn.XLOOKUP("JJ",[1]Print_Summary!$O$23:$O$41,[1]Print_Summary!$P$23:$P$41)</f>
        <v>Ten</v>
      </c>
      <c r="D175" s="1" t="str" cm="1">
        <f t="array" ref="D175">_xlfn.XLOOKUP("AA",[1]Print_Summary!$O$23:$O$41,[1]Print_Summary!$P$23:$P$41)</f>
        <v>Ox</v>
      </c>
      <c r="E175" s="1" t="str" cm="1">
        <f t="array" ref="E175">_xlfn.XLOOKUP("EE",[1]Print_Summary!$O$23:$O$41,[1]Print_Summary!$P$23:$P$41)</f>
        <v>Ace</v>
      </c>
      <c r="F175" s="2" t="str" cm="1">
        <f t="array" ref="F175">_xlfn.XLOOKUP("BB",[1]Print_Summary!$O$23:$O$41,[1]Print_Summary!$P$23:$P$41)</f>
        <v>Pisces</v>
      </c>
    </row>
    <row r="176" spans="1:6" ht="15.5">
      <c r="A176" s="7">
        <v>173</v>
      </c>
      <c r="B176" s="1" t="str" cm="1">
        <f t="array" ref="B176">_xlfn.XLOOKUP("DD",[1]Print_Summary!$O$23:$O$41,[1]Print_Summary!$P$23:$P$41)</f>
        <v>Arm Band</v>
      </c>
      <c r="C176" s="1" t="str" cm="1">
        <f t="array" ref="C176">_xlfn.XLOOKUP("DD",[1]Print_Summary!$O$23:$O$41,[1]Print_Summary!$P$23:$P$41)</f>
        <v>Arm Band</v>
      </c>
      <c r="D176" s="1" t="str" cm="1">
        <f t="array" ref="D176">_xlfn.XLOOKUP("AA",[1]Print_Summary!$O$23:$O$41,[1]Print_Summary!$P$23:$P$41)</f>
        <v>Ox</v>
      </c>
      <c r="E176" s="1" t="str" cm="1">
        <f t="array" ref="E176">_xlfn.XLOOKUP("BB",[1]Print_Summary!$O$23:$O$41,[1]Print_Summary!$P$23:$P$41)</f>
        <v>Pisces</v>
      </c>
      <c r="F176" s="2" t="str" cm="1">
        <f t="array" ref="F176">_xlfn.XLOOKUP("EE",[1]Print_Summary!$O$23:$O$41,[1]Print_Summary!$P$23:$P$41)</f>
        <v>Ace</v>
      </c>
    </row>
    <row r="177" spans="1:6" ht="15.5">
      <c r="A177" s="7">
        <v>174</v>
      </c>
      <c r="B177" s="1" t="str" cm="1">
        <f t="array" ref="B177">_xlfn.XLOOKUP("GG",[1]Print_Summary!$O$23:$O$41,[1]Print_Summary!$P$23:$P$41)</f>
        <v>Queen</v>
      </c>
      <c r="C177" s="1" t="str" cm="1">
        <f t="array" ref="C177">_xlfn.XLOOKUP("EE",[1]Print_Summary!$O$23:$O$41,[1]Print_Summary!$P$23:$P$41)</f>
        <v>Ace</v>
      </c>
      <c r="D177" s="1" t="str" cm="1">
        <f t="array" ref="D177">_xlfn.XLOOKUP("JJ",[1]Print_Summary!$O$23:$O$41,[1]Print_Summary!$P$23:$P$41)</f>
        <v>Ten</v>
      </c>
      <c r="E177" s="1" t="str" cm="1">
        <f t="array" ref="E177">_xlfn.XLOOKUP("HH",[1]Print_Summary!$O$23:$O$41,[1]Print_Summary!$P$23:$P$41)</f>
        <v>Jack</v>
      </c>
      <c r="F177" s="2" t="str" cm="1">
        <f t="array" ref="F177">_xlfn.XLOOKUP("CC",[1]Print_Summary!$O$23:$O$41,[1]Print_Summary!$P$23:$P$41)</f>
        <v>Wealth Pot</v>
      </c>
    </row>
    <row r="178" spans="1:6" ht="15.5">
      <c r="A178" s="7">
        <v>175</v>
      </c>
      <c r="B178" s="1" t="str" cm="1">
        <f t="array" ref="B178">_xlfn.XLOOKUP("WC",[1]Print_Summary!$O$23:$O$41,[1]Print_Summary!$P$23:$P$41)</f>
        <v>WILD</v>
      </c>
      <c r="C178" s="1" t="str" cm="1">
        <f t="array" ref="C178">_xlfn.XLOOKUP("JJ",[1]Print_Summary!$O$23:$O$41,[1]Print_Summary!$P$23:$P$41)</f>
        <v>Ten</v>
      </c>
      <c r="D178" s="1" t="str" cm="1">
        <f t="array" ref="D178">_xlfn.XLOOKUP("WC",[1]Print_Summary!$O$23:$O$41,[1]Print_Summary!$P$23:$P$41)</f>
        <v>WILD</v>
      </c>
      <c r="E178" s="1" t="str" cm="1">
        <f t="array" ref="E178">_xlfn.XLOOKUP("SC",[1]Print_Summary!$O$23:$O$41,[1]Print_Summary!$P$23:$P$41)</f>
        <v>Orb</v>
      </c>
      <c r="F178" s="2" t="str" cm="1">
        <f t="array" ref="F178">_xlfn.XLOOKUP("GG",[1]Print_Summary!$O$23:$O$41,[1]Print_Summary!$P$23:$P$41)</f>
        <v>Queen</v>
      </c>
    </row>
    <row r="179" spans="1:6" ht="15.5">
      <c r="A179" s="7">
        <v>176</v>
      </c>
      <c r="B179" s="1" t="str" cm="1">
        <f t="array" ref="B179">_xlfn.XLOOKUP("GG",[1]Print_Summary!$O$23:$O$41,[1]Print_Summary!$P$23:$P$41)</f>
        <v>Queen</v>
      </c>
      <c r="C179" s="1" t="str" cm="1">
        <f t="array" ref="C179">_xlfn.XLOOKUP("SC",[1]Print_Summary!$O$23:$O$41,[1]Print_Summary!$P$23:$P$41)</f>
        <v>Orb</v>
      </c>
      <c r="D179" s="1" t="str" cm="1">
        <f t="array" ref="D179">_xlfn.XLOOKUP("GG",[1]Print_Summary!$O$23:$O$41,[1]Print_Summary!$P$23:$P$41)</f>
        <v>Queen</v>
      </c>
      <c r="E179" s="1" t="str" cm="1">
        <f t="array" ref="E179">_xlfn.XLOOKUP("MO",[1]Print_Summary!$O$23:$O$41,[1]Print_Summary!$P$23:$P$41)</f>
        <v>Mystery2</v>
      </c>
      <c r="F179" s="2" t="str" cm="1">
        <f t="array" ref="F179">_xlfn.XLOOKUP("DD",[1]Print_Summary!$O$23:$O$41,[1]Print_Summary!$P$23:$P$41)</f>
        <v>Arm Band</v>
      </c>
    </row>
    <row r="180" spans="1:6" ht="15.5">
      <c r="A180" s="7">
        <v>177</v>
      </c>
      <c r="B180" s="1" t="str" cm="1">
        <f t="array" ref="B180">_xlfn.XLOOKUP("HH",[1]Print_Summary!$O$23:$O$41,[1]Print_Summary!$P$23:$P$41)</f>
        <v>Jack</v>
      </c>
      <c r="C180" s="1" t="str" cm="1">
        <f t="array" ref="C180">_xlfn.XLOOKUP("SC",[1]Print_Summary!$O$23:$O$41,[1]Print_Summary!$P$23:$P$41)</f>
        <v>Orb</v>
      </c>
      <c r="D180" s="1" t="str" cm="1">
        <f t="array" ref="D180">_xlfn.XLOOKUP("BB",[1]Print_Summary!$O$23:$O$41,[1]Print_Summary!$P$23:$P$41)</f>
        <v>Pisces</v>
      </c>
      <c r="E180" s="1" t="str" cm="1">
        <f t="array" ref="E180">_xlfn.XLOOKUP("SC",[1]Print_Summary!$O$23:$O$41,[1]Print_Summary!$P$23:$P$41)</f>
        <v>Orb</v>
      </c>
      <c r="F180" s="2" t="str" cm="1">
        <f t="array" ref="F180">_xlfn.XLOOKUP("DD",[1]Print_Summary!$O$23:$O$41,[1]Print_Summary!$P$23:$P$41)</f>
        <v>Arm Band</v>
      </c>
    </row>
    <row r="181" spans="1:6" ht="15.5">
      <c r="A181" s="7">
        <v>178</v>
      </c>
      <c r="B181" s="1" t="str" cm="1">
        <f t="array" ref="B181">_xlfn.XLOOKUP("CC",[1]Print_Summary!$O$23:$O$41,[1]Print_Summary!$P$23:$P$41)</f>
        <v>Wealth Pot</v>
      </c>
      <c r="C181" s="1" t="str" cm="1">
        <f t="array" ref="C181">_xlfn.XLOOKUP("SC",[1]Print_Summary!$O$23:$O$41,[1]Print_Summary!$P$23:$P$41)</f>
        <v>Orb</v>
      </c>
      <c r="D181" s="1" t="str" cm="1">
        <f t="array" ref="D181">_xlfn.XLOOKUP("EE",[1]Print_Summary!$O$23:$O$41,[1]Print_Summary!$P$23:$P$41)</f>
        <v>Ace</v>
      </c>
      <c r="E181" s="1" t="str" cm="1">
        <f t="array" ref="E181">_xlfn.XLOOKUP("EE",[1]Print_Summary!$O$23:$O$41,[1]Print_Summary!$P$23:$P$41)</f>
        <v>Ace</v>
      </c>
      <c r="F181" s="2" t="str" cm="1">
        <f t="array" ref="F181">_xlfn.XLOOKUP("HH",[1]Print_Summary!$O$23:$O$41,[1]Print_Summary!$P$23:$P$41)</f>
        <v>Jack</v>
      </c>
    </row>
    <row r="182" spans="1:6" ht="15.5">
      <c r="A182" s="7">
        <v>179</v>
      </c>
      <c r="B182" s="1" t="str" cm="1">
        <f t="array" ref="B182">_xlfn.XLOOKUP("FF",[1]Print_Summary!$O$23:$O$41,[1]Print_Summary!$P$23:$P$41)</f>
        <v>King</v>
      </c>
      <c r="C182" s="1" t="str" cm="1">
        <f t="array" ref="C182">_xlfn.XLOOKUP("EE",[1]Print_Summary!$O$23:$O$41,[1]Print_Summary!$P$23:$P$41)</f>
        <v>Ace</v>
      </c>
      <c r="D182" s="1" t="str" cm="1">
        <f t="array" ref="D182">_xlfn.XLOOKUP("WC",[1]Print_Summary!$O$23:$O$41,[1]Print_Summary!$P$23:$P$41)</f>
        <v>WILD</v>
      </c>
      <c r="E182" s="1" t="str" cm="1">
        <f t="array" ref="E182">_xlfn.XLOOKUP("AA",[1]Print_Summary!$O$23:$O$41,[1]Print_Summary!$P$23:$P$41)</f>
        <v>Ox</v>
      </c>
      <c r="F182" s="2" t="str" cm="1">
        <f t="array" ref="F182">_xlfn.XLOOKUP("AA",[1]Print_Summary!$O$23:$O$41,[1]Print_Summary!$P$23:$P$41)</f>
        <v>Ox</v>
      </c>
    </row>
    <row r="183" spans="1:6" ht="15.5">
      <c r="A183" s="7">
        <v>180</v>
      </c>
      <c r="B183" s="1" t="str" cm="1">
        <f t="array" ref="B183">_xlfn.XLOOKUP("BB",[1]Print_Summary!$O$23:$O$41,[1]Print_Summary!$P$23:$P$41)</f>
        <v>Pisces</v>
      </c>
      <c r="C183" s="1" t="str" cm="1">
        <f t="array" ref="C183">_xlfn.XLOOKUP("DD",[1]Print_Summary!$O$23:$O$41,[1]Print_Summary!$P$23:$P$41)</f>
        <v>Arm Band</v>
      </c>
      <c r="D183" s="1" t="str" cm="1">
        <f t="array" ref="D183">_xlfn.XLOOKUP("GG",[1]Print_Summary!$O$23:$O$41,[1]Print_Summary!$P$23:$P$41)</f>
        <v>Queen</v>
      </c>
      <c r="E183" s="1" t="str" cm="1">
        <f t="array" ref="E183">_xlfn.XLOOKUP("GG",[1]Print_Summary!$O$23:$O$41,[1]Print_Summary!$P$23:$P$41)</f>
        <v>Queen</v>
      </c>
      <c r="F183" s="2" t="str" cm="1">
        <f t="array" ref="F183">_xlfn.XLOOKUP("JJ",[1]Print_Summary!$O$23:$O$41,[1]Print_Summary!$P$23:$P$41)</f>
        <v>Ten</v>
      </c>
    </row>
    <row r="184" spans="1:6" ht="15.5">
      <c r="A184" s="7">
        <v>181</v>
      </c>
      <c r="B184" s="1" t="str" cm="1">
        <f t="array" ref="B184">_xlfn.XLOOKUP("BB",[1]Print_Summary!$O$23:$O$41,[1]Print_Summary!$P$23:$P$41)</f>
        <v>Pisces</v>
      </c>
      <c r="C184" s="1" t="str" cm="1">
        <f t="array" ref="C184">_xlfn.XLOOKUP("SF",[1]Print_Summary!$O$23:$O$41,[1]Print_Summary!$P$23:$P$41)</f>
        <v>Orb (Splittable)</v>
      </c>
      <c r="D184" s="1" t="str" cm="1">
        <f t="array" ref="D184">_xlfn.XLOOKUP("AA",[1]Print_Summary!$O$23:$O$41,[1]Print_Summary!$P$23:$P$41)</f>
        <v>Ox</v>
      </c>
      <c r="E184" s="1" t="str" cm="1">
        <f t="array" ref="E184">_xlfn.XLOOKUP("DD",[1]Print_Summary!$O$23:$O$41,[1]Print_Summary!$P$23:$P$41)</f>
        <v>Arm Band</v>
      </c>
      <c r="F184" s="2" t="str" cm="1">
        <f t="array" ref="F184">_xlfn.XLOOKUP("SC",[1]Print_Summary!$O$23:$O$41,[1]Print_Summary!$P$23:$P$41)</f>
        <v>Orb</v>
      </c>
    </row>
    <row r="185" spans="1:6" ht="15.5">
      <c r="A185" s="7">
        <v>182</v>
      </c>
      <c r="B185" s="1" t="str" cm="1">
        <f t="array" ref="B185">_xlfn.XLOOKUP("GG",[1]Print_Summary!$O$23:$O$41,[1]Print_Summary!$P$23:$P$41)</f>
        <v>Queen</v>
      </c>
      <c r="C185" s="1" t="str" cm="1">
        <f t="array" ref="C185">_xlfn.XLOOKUP("CC",[1]Print_Summary!$O$23:$O$41,[1]Print_Summary!$P$23:$P$41)</f>
        <v>Wealth Pot</v>
      </c>
      <c r="D185" s="1" t="str" cm="1">
        <f t="array" ref="D185">_xlfn.XLOOKUP("SC",[1]Print_Summary!$O$23:$O$41,[1]Print_Summary!$P$23:$P$41)</f>
        <v>Orb</v>
      </c>
      <c r="E185" s="1" t="str" cm="1">
        <f t="array" ref="E185">_xlfn.XLOOKUP("FF",[1]Print_Summary!$O$23:$O$41,[1]Print_Summary!$P$23:$P$41)</f>
        <v>King</v>
      </c>
      <c r="F185" s="2" t="str" cm="1">
        <f t="array" ref="F185">_xlfn.XLOOKUP("SC",[1]Print_Summary!$O$23:$O$41,[1]Print_Summary!$P$23:$P$41)</f>
        <v>Orb</v>
      </c>
    </row>
    <row r="186" spans="1:6" ht="15.5">
      <c r="A186" s="7">
        <v>183</v>
      </c>
      <c r="B186" s="1" t="str" cm="1">
        <f t="array" ref="B186">_xlfn.XLOOKUP("SF",[1]Print_Summary!$O$23:$O$41,[1]Print_Summary!$P$23:$P$41)</f>
        <v>Orb (Splittable)</v>
      </c>
      <c r="C186" s="1" t="str" cm="1">
        <f t="array" ref="C186">_xlfn.XLOOKUP("JJ",[1]Print_Summary!$O$23:$O$41,[1]Print_Summary!$P$23:$P$41)</f>
        <v>Ten</v>
      </c>
      <c r="D186" s="1" t="str" cm="1">
        <f t="array" ref="D186">_xlfn.XLOOKUP("BB",[1]Print_Summary!$O$23:$O$41,[1]Print_Summary!$P$23:$P$41)</f>
        <v>Pisces</v>
      </c>
      <c r="E186" s="1" t="str" cm="1">
        <f t="array" ref="E186">_xlfn.XLOOKUP("FG",[1]Print_Summary!$O$23:$O$41,[1]Print_Summary!$P$23:$P$41)</f>
        <v>Free Games</v>
      </c>
      <c r="F186" s="2" t="str" cm="1">
        <f t="array" ref="F186">_xlfn.XLOOKUP("HH",[1]Print_Summary!$O$23:$O$41,[1]Print_Summary!$P$23:$P$41)</f>
        <v>Jack</v>
      </c>
    </row>
    <row r="187" spans="1:6" ht="15.5">
      <c r="A187" s="7">
        <v>184</v>
      </c>
      <c r="B187" s="1" t="str" cm="1">
        <f t="array" ref="B187">_xlfn.XLOOKUP("SC",[1]Print_Summary!$O$23:$O$41,[1]Print_Summary!$P$23:$P$41)</f>
        <v>Orb</v>
      </c>
      <c r="C187" s="1" t="str" cm="1">
        <f t="array" ref="C187">_xlfn.XLOOKUP("WC",[1]Print_Summary!$O$23:$O$41,[1]Print_Summary!$P$23:$P$41)</f>
        <v>WILD</v>
      </c>
      <c r="D187" s="1" t="str" cm="1">
        <f t="array" ref="D187">_xlfn.XLOOKUP("GG",[1]Print_Summary!$O$23:$O$41,[1]Print_Summary!$P$23:$P$41)</f>
        <v>Queen</v>
      </c>
      <c r="E187" s="1" t="str" cm="1">
        <f t="array" ref="E187">_xlfn.XLOOKUP("JJ",[1]Print_Summary!$O$23:$O$41,[1]Print_Summary!$P$23:$P$41)</f>
        <v>Ten</v>
      </c>
      <c r="F187" s="2" t="str" cm="1">
        <f t="array" ref="F187">_xlfn.XLOOKUP("FF",[1]Print_Summary!$O$23:$O$41,[1]Print_Summary!$P$23:$P$41)</f>
        <v>King</v>
      </c>
    </row>
    <row r="188" spans="1:6" ht="15.5">
      <c r="A188" s="7">
        <v>185</v>
      </c>
      <c r="B188" s="1" t="str" cm="1">
        <f t="array" ref="B188">_xlfn.XLOOKUP("FF",[1]Print_Summary!$O$23:$O$41,[1]Print_Summary!$P$23:$P$41)</f>
        <v>King</v>
      </c>
      <c r="C188" s="1" t="str" cm="1">
        <f t="array" ref="C188">_xlfn.XLOOKUP("EE",[1]Print_Summary!$O$23:$O$41,[1]Print_Summary!$P$23:$P$41)</f>
        <v>Ace</v>
      </c>
      <c r="D188" s="1" t="str" cm="1">
        <f t="array" ref="D188">_xlfn.XLOOKUP("AA",[1]Print_Summary!$O$23:$O$41,[1]Print_Summary!$P$23:$P$41)</f>
        <v>Ox</v>
      </c>
      <c r="E188" s="1" t="str" cm="1">
        <f t="array" ref="E188">_xlfn.XLOOKUP("AA",[1]Print_Summary!$O$23:$O$41,[1]Print_Summary!$P$23:$P$41)</f>
        <v>Ox</v>
      </c>
      <c r="F188" s="2" t="str" cm="1">
        <f t="array" ref="F188">_xlfn.XLOOKUP("AA",[1]Print_Summary!$O$23:$O$41,[1]Print_Summary!$P$23:$P$41)</f>
        <v>Ox</v>
      </c>
    </row>
    <row r="189" spans="1:6" ht="15.5">
      <c r="A189" s="7">
        <v>186</v>
      </c>
      <c r="B189" s="1" t="str" cm="1">
        <f t="array" ref="B189">_xlfn.XLOOKUP("FF",[1]Print_Summary!$O$23:$O$41,[1]Print_Summary!$P$23:$P$41)</f>
        <v>King</v>
      </c>
      <c r="C189" s="1" t="str" cm="1">
        <f t="array" ref="C189">_xlfn.XLOOKUP("BB",[1]Print_Summary!$O$23:$O$41,[1]Print_Summary!$P$23:$P$41)</f>
        <v>Pisces</v>
      </c>
      <c r="D189" s="1" t="str" cm="1">
        <f t="array" ref="D189">_xlfn.XLOOKUP("AA",[1]Print_Summary!$O$23:$O$41,[1]Print_Summary!$P$23:$P$41)</f>
        <v>Ox</v>
      </c>
      <c r="E189" s="1" t="str" cm="1">
        <f t="array" ref="E189">_xlfn.XLOOKUP("AA",[1]Print_Summary!$O$23:$O$41,[1]Print_Summary!$P$23:$P$41)</f>
        <v>Ox</v>
      </c>
      <c r="F189" s="2" t="str" cm="1">
        <f t="array" ref="F189">_xlfn.XLOOKUP("AA",[1]Print_Summary!$O$23:$O$41,[1]Print_Summary!$P$23:$P$41)</f>
        <v>Ox</v>
      </c>
    </row>
    <row r="190" spans="1:6" ht="15.5">
      <c r="A190" s="7">
        <v>187</v>
      </c>
      <c r="B190" s="1" t="str" cm="1">
        <f t="array" ref="B190">_xlfn.XLOOKUP("DD",[1]Print_Summary!$O$23:$O$41,[1]Print_Summary!$P$23:$P$41)</f>
        <v>Arm Band</v>
      </c>
      <c r="C190" s="1" t="str" cm="1">
        <f t="array" ref="C190">_xlfn.XLOOKUP("JJ",[1]Print_Summary!$O$23:$O$41,[1]Print_Summary!$P$23:$P$41)</f>
        <v>Ten</v>
      </c>
      <c r="D190" s="1" t="str" cm="1">
        <f t="array" ref="D190">_xlfn.XLOOKUP("FF",[1]Print_Summary!$O$23:$O$41,[1]Print_Summary!$P$23:$P$41)</f>
        <v>King</v>
      </c>
      <c r="E190" s="1" t="str" cm="1">
        <f t="array" ref="E190">_xlfn.XLOOKUP("BB",[1]Print_Summary!$O$23:$O$41,[1]Print_Summary!$P$23:$P$41)</f>
        <v>Pisces</v>
      </c>
      <c r="F190" s="2" t="str" cm="1">
        <f t="array" ref="F190">_xlfn.XLOOKUP("JJ",[1]Print_Summary!$O$23:$O$41,[1]Print_Summary!$P$23:$P$41)</f>
        <v>Ten</v>
      </c>
    </row>
    <row r="191" spans="1:6" ht="15.5">
      <c r="A191" s="7">
        <v>188</v>
      </c>
      <c r="B191" s="1" t="str" cm="1">
        <f t="array" ref="B191">_xlfn.XLOOKUP("JJ",[1]Print_Summary!$O$23:$O$41,[1]Print_Summary!$P$23:$P$41)</f>
        <v>Ten</v>
      </c>
      <c r="C191" s="1" t="str" cm="1">
        <f t="array" ref="C191">_xlfn.XLOOKUP("WC",[1]Print_Summary!$O$23:$O$41,[1]Print_Summary!$P$23:$P$41)</f>
        <v>WILD</v>
      </c>
      <c r="D191" s="1" t="str" cm="1">
        <f t="array" ref="D191">_xlfn.XLOOKUP("FG",[1]Print_Summary!$O$23:$O$41,[1]Print_Summary!$P$23:$P$41)</f>
        <v>Free Games</v>
      </c>
      <c r="E191" s="1" t="str" cm="1">
        <f t="array" ref="E191">_xlfn.XLOOKUP("SC",[1]Print_Summary!$O$23:$O$41,[1]Print_Summary!$P$23:$P$41)</f>
        <v>Orb</v>
      </c>
      <c r="F191" s="2" t="str" cm="1">
        <f t="array" ref="F191">_xlfn.XLOOKUP("BB",[1]Print_Summary!$O$23:$O$41,[1]Print_Summary!$P$23:$P$41)</f>
        <v>Pisces</v>
      </c>
    </row>
    <row r="192" spans="1:6" ht="15.5">
      <c r="A192" s="7">
        <v>189</v>
      </c>
      <c r="B192" s="1" t="str" cm="1">
        <f t="array" ref="B192">_xlfn.XLOOKUP("JJ",[1]Print_Summary!$O$23:$O$41,[1]Print_Summary!$P$23:$P$41)</f>
        <v>Ten</v>
      </c>
      <c r="C192" s="1" t="str" cm="1">
        <f t="array" ref="C192">_xlfn.XLOOKUP("HH",[1]Print_Summary!$O$23:$O$41,[1]Print_Summary!$P$23:$P$41)</f>
        <v>Jack</v>
      </c>
      <c r="D192" s="1" t="str" cm="1">
        <f t="array" ref="D192">_xlfn.XLOOKUP("DD",[1]Print_Summary!$O$23:$O$41,[1]Print_Summary!$P$23:$P$41)</f>
        <v>Arm Band</v>
      </c>
      <c r="E192" s="1" t="str" cm="1">
        <f t="array" ref="E192">_xlfn.XLOOKUP("SC",[1]Print_Summary!$O$23:$O$41,[1]Print_Summary!$P$23:$P$41)</f>
        <v>Orb</v>
      </c>
      <c r="F192" s="2" t="str" cm="1">
        <f t="array" ref="F192">_xlfn.XLOOKUP("FF",[1]Print_Summary!$O$23:$O$41,[1]Print_Summary!$P$23:$P$41)</f>
        <v>King</v>
      </c>
    </row>
    <row r="193" spans="1:6" ht="15.5">
      <c r="A193" s="7">
        <v>190</v>
      </c>
      <c r="B193" s="1" t="str" cm="1">
        <f t="array" ref="B193">_xlfn.XLOOKUP("CC",[1]Print_Summary!$O$23:$O$41,[1]Print_Summary!$P$23:$P$41)</f>
        <v>Wealth Pot</v>
      </c>
      <c r="C193" s="1" t="str" cm="1">
        <f t="array" ref="C193">_xlfn.XLOOKUP("CC",[1]Print_Summary!$O$23:$O$41,[1]Print_Summary!$P$23:$P$41)</f>
        <v>Wealth Pot</v>
      </c>
      <c r="D193" s="1" t="str" cm="1">
        <f t="array" ref="D193">_xlfn.XLOOKUP("CC",[1]Print_Summary!$O$23:$O$41,[1]Print_Summary!$P$23:$P$41)</f>
        <v>Wealth Pot</v>
      </c>
      <c r="E193" s="1" t="str" cm="1">
        <f t="array" ref="E193">_xlfn.XLOOKUP("CC",[1]Print_Summary!$O$23:$O$41,[1]Print_Summary!$P$23:$P$41)</f>
        <v>Wealth Pot</v>
      </c>
      <c r="F193" s="2" t="str" cm="1">
        <f t="array" ref="F193">_xlfn.XLOOKUP("DD",[1]Print_Summary!$O$23:$O$41,[1]Print_Summary!$P$23:$P$41)</f>
        <v>Arm Band</v>
      </c>
    </row>
    <row r="194" spans="1:6" ht="15.5">
      <c r="A194" s="7">
        <v>191</v>
      </c>
      <c r="B194" s="1" t="str" cm="1">
        <f t="array" ref="B194">_xlfn.XLOOKUP("WC",[1]Print_Summary!$O$23:$O$41,[1]Print_Summary!$P$23:$P$41)</f>
        <v>WILD</v>
      </c>
      <c r="C194" s="1" t="str" cm="1">
        <f t="array" ref="C194">_xlfn.XLOOKUP("GG",[1]Print_Summary!$O$23:$O$41,[1]Print_Summary!$P$23:$P$41)</f>
        <v>Queen</v>
      </c>
      <c r="D194" s="1" t="str" cm="1">
        <f t="array" ref="D194">_xlfn.XLOOKUP("WC",[1]Print_Summary!$O$23:$O$41,[1]Print_Summary!$P$23:$P$41)</f>
        <v>WILD</v>
      </c>
      <c r="E194" s="1" t="str" cm="1">
        <f t="array" ref="E194">_xlfn.XLOOKUP("HH",[1]Print_Summary!$O$23:$O$41,[1]Print_Summary!$P$23:$P$41)</f>
        <v>Jack</v>
      </c>
      <c r="F194" s="2" t="str" cm="1">
        <f t="array" ref="F194">_xlfn.XLOOKUP("DD",[1]Print_Summary!$O$23:$O$41,[1]Print_Summary!$P$23:$P$41)</f>
        <v>Arm Band</v>
      </c>
    </row>
    <row r="195" spans="1:6" ht="15.5">
      <c r="A195" s="7">
        <v>192</v>
      </c>
      <c r="B195" s="1" t="str" cm="1">
        <f t="array" ref="B195">_xlfn.XLOOKUP("AA",[1]Print_Summary!$O$23:$O$41,[1]Print_Summary!$P$23:$P$41)</f>
        <v>Ox</v>
      </c>
      <c r="C195" s="1" t="str" cm="1">
        <f t="array" ref="C195">_xlfn.XLOOKUP("GG",[1]Print_Summary!$O$23:$O$41,[1]Print_Summary!$P$23:$P$41)</f>
        <v>Queen</v>
      </c>
      <c r="D195" s="1" t="str" cm="1">
        <f t="array" ref="D195">_xlfn.XLOOKUP("EE",[1]Print_Summary!$O$23:$O$41,[1]Print_Summary!$P$23:$P$41)</f>
        <v>Ace</v>
      </c>
      <c r="E195" s="1" t="str" cm="1">
        <f t="array" ref="E195">_xlfn.XLOOKUP("AA",[1]Print_Summary!$O$23:$O$41,[1]Print_Summary!$P$23:$P$41)</f>
        <v>Ox</v>
      </c>
      <c r="F195" s="2" t="str" cm="1">
        <f t="array" ref="F195">_xlfn.XLOOKUP("HH",[1]Print_Summary!$O$23:$O$41,[1]Print_Summary!$P$23:$P$41)</f>
        <v>Jack</v>
      </c>
    </row>
    <row r="196" spans="1:6" ht="15.5">
      <c r="A196" s="7">
        <v>193</v>
      </c>
      <c r="B196" s="1" t="str" cm="1">
        <f t="array" ref="B196">_xlfn.XLOOKUP("CC",[1]Print_Summary!$O$23:$O$41,[1]Print_Summary!$P$23:$P$41)</f>
        <v>Wealth Pot</v>
      </c>
      <c r="C196" s="1" t="str" cm="1">
        <f t="array" ref="C196">_xlfn.XLOOKUP("FG",[1]Print_Summary!$O$23:$O$41,[1]Print_Summary!$P$23:$P$41)</f>
        <v>Free Games</v>
      </c>
      <c r="D196" s="1" t="str" cm="1">
        <f t="array" ref="D196">_xlfn.XLOOKUP("BB",[1]Print_Summary!$O$23:$O$41,[1]Print_Summary!$P$23:$P$41)</f>
        <v>Pisces</v>
      </c>
      <c r="E196" s="1" t="str" cm="1">
        <f t="array" ref="E196">_xlfn.XLOOKUP("GG",[1]Print_Summary!$O$23:$O$41,[1]Print_Summary!$P$23:$P$41)</f>
        <v>Queen</v>
      </c>
      <c r="F196" s="2" t="str" cm="1">
        <f t="array" ref="F196">_xlfn.XLOOKUP("GG",[1]Print_Summary!$O$23:$O$41,[1]Print_Summary!$P$23:$P$41)</f>
        <v>Queen</v>
      </c>
    </row>
    <row r="197" spans="1:6" ht="15.5">
      <c r="A197" s="7">
        <v>194</v>
      </c>
      <c r="B197" s="1" t="str" cm="1">
        <f t="array" ref="B197">_xlfn.XLOOKUP("HH",[1]Print_Summary!$O$23:$O$41,[1]Print_Summary!$P$23:$P$41)</f>
        <v>Jack</v>
      </c>
      <c r="C197" s="1" t="str" cm="1">
        <f t="array" ref="C197">_xlfn.XLOOKUP("EE",[1]Print_Summary!$O$23:$O$41,[1]Print_Summary!$P$23:$P$41)</f>
        <v>Ace</v>
      </c>
      <c r="D197" s="1" t="str" cm="1">
        <f t="array" ref="D197">_xlfn.XLOOKUP("BB",[1]Print_Summary!$O$23:$O$41,[1]Print_Summary!$P$23:$P$41)</f>
        <v>Pisces</v>
      </c>
      <c r="E197" s="1" t="str" cm="1">
        <f t="array" ref="E197">_xlfn.XLOOKUP("FG",[1]Print_Summary!$O$23:$O$41,[1]Print_Summary!$P$23:$P$41)</f>
        <v>Free Games</v>
      </c>
      <c r="F197" s="2" t="str" cm="1">
        <f t="array" ref="F197">_xlfn.XLOOKUP("AA",[1]Print_Summary!$O$23:$O$41,[1]Print_Summary!$P$23:$P$41)</f>
        <v>Ox</v>
      </c>
    </row>
    <row r="198" spans="1:6" ht="15.5">
      <c r="A198" s="7">
        <v>195</v>
      </c>
      <c r="B198" s="1" t="str" cm="1">
        <f t="array" ref="B198">_xlfn.XLOOKUP("HH",[1]Print_Summary!$O$23:$O$41,[1]Print_Summary!$P$23:$P$41)</f>
        <v>Jack</v>
      </c>
      <c r="C198" s="1" t="str" cm="1">
        <f t="array" ref="C198">_xlfn.XLOOKUP("AA",[1]Print_Summary!$O$23:$O$41,[1]Print_Summary!$P$23:$P$41)</f>
        <v>Ox</v>
      </c>
      <c r="D198" s="1" t="str" cm="1">
        <f t="array" ref="D198">_xlfn.XLOOKUP("HH",[1]Print_Summary!$O$23:$O$41,[1]Print_Summary!$P$23:$P$41)</f>
        <v>Jack</v>
      </c>
      <c r="E198" s="1" t="str" cm="1">
        <f t="array" ref="E198">_xlfn.XLOOKUP("HH",[1]Print_Summary!$O$23:$O$41,[1]Print_Summary!$P$23:$P$41)</f>
        <v>Jack</v>
      </c>
      <c r="F198" s="2" t="str" cm="1">
        <f t="array" ref="F198">_xlfn.XLOOKUP("EE",[1]Print_Summary!$O$23:$O$41,[1]Print_Summary!$P$23:$P$41)</f>
        <v>Ace</v>
      </c>
    </row>
    <row r="199" spans="1:6" ht="15.5">
      <c r="A199" s="7">
        <v>196</v>
      </c>
      <c r="B199" s="1" t="str" cm="1">
        <f t="array" ref="B199">_xlfn.XLOOKUP("HH",[1]Print_Summary!$O$23:$O$41,[1]Print_Summary!$P$23:$P$41)</f>
        <v>Jack</v>
      </c>
      <c r="C199" s="1" t="str" cm="1">
        <f t="array" ref="C199">_xlfn.XLOOKUP("JJ",[1]Print_Summary!$O$23:$O$41,[1]Print_Summary!$P$23:$P$41)</f>
        <v>Ten</v>
      </c>
      <c r="D199" s="1" t="str" cm="1">
        <f t="array" ref="D199">_xlfn.XLOOKUP("FG",[1]Print_Summary!$O$23:$O$41,[1]Print_Summary!$P$23:$P$41)</f>
        <v>Free Games</v>
      </c>
      <c r="E199" s="1" t="str" cm="1">
        <f t="array" ref="E199">_xlfn.XLOOKUP("DD",[1]Print_Summary!$O$23:$O$41,[1]Print_Summary!$P$23:$P$41)</f>
        <v>Arm Band</v>
      </c>
      <c r="F199" s="2" t="str" cm="1">
        <f t="array" ref="F199">_xlfn.XLOOKUP("CC",[1]Print_Summary!$O$23:$O$41,[1]Print_Summary!$P$23:$P$41)</f>
        <v>Wealth Pot</v>
      </c>
    </row>
    <row r="200" spans="1:6" ht="15.5">
      <c r="A200" s="7">
        <v>197</v>
      </c>
      <c r="B200" s="1" t="str" cm="1">
        <f t="array" ref="B200">_xlfn.XLOOKUP("DD",[1]Print_Summary!$O$23:$O$41,[1]Print_Summary!$P$23:$P$41)</f>
        <v>Arm Band</v>
      </c>
      <c r="C200" s="1" t="str" cm="1">
        <f t="array" ref="C200">_xlfn.XLOOKUP("EE",[1]Print_Summary!$O$23:$O$41,[1]Print_Summary!$P$23:$P$41)</f>
        <v>Ace</v>
      </c>
      <c r="D200" s="1" t="str" cm="1">
        <f t="array" ref="D200">_xlfn.XLOOKUP("DD",[1]Print_Summary!$O$23:$O$41,[1]Print_Summary!$P$23:$P$41)</f>
        <v>Arm Band</v>
      </c>
      <c r="E200" s="1" t="str" cm="1">
        <f t="array" ref="E200">_xlfn.XLOOKUP("GG",[1]Print_Summary!$O$23:$O$41,[1]Print_Summary!$P$23:$P$41)</f>
        <v>Queen</v>
      </c>
      <c r="F200" s="2" t="str" cm="1">
        <f t="array" ref="F200">_xlfn.XLOOKUP("CC",[1]Print_Summary!$O$23:$O$41,[1]Print_Summary!$P$23:$P$41)</f>
        <v>Wealth Pot</v>
      </c>
    </row>
    <row r="201" spans="1:6" ht="15.5">
      <c r="A201" s="7">
        <v>198</v>
      </c>
      <c r="B201" s="1" t="str" cm="1">
        <f t="array" ref="B201">_xlfn.XLOOKUP("FF",[1]Print_Summary!$O$23:$O$41,[1]Print_Summary!$P$23:$P$41)</f>
        <v>King</v>
      </c>
      <c r="C201" s="1" t="str" cm="1">
        <f t="array" ref="C201">_xlfn.XLOOKUP("WC",[1]Print_Summary!$O$23:$O$41,[1]Print_Summary!$P$23:$P$41)</f>
        <v>WILD</v>
      </c>
      <c r="D201" s="1" t="str" cm="1">
        <f t="array" ref="D201">_xlfn.XLOOKUP("DD",[1]Print_Summary!$O$23:$O$41,[1]Print_Summary!$P$23:$P$41)</f>
        <v>Arm Band</v>
      </c>
      <c r="E201" s="1" t="str" cm="1">
        <f t="array" ref="E201">_xlfn.XLOOKUP("BB",[1]Print_Summary!$O$23:$O$41,[1]Print_Summary!$P$23:$P$41)</f>
        <v>Pisces</v>
      </c>
      <c r="F201" s="2" t="str" cm="1">
        <f t="array" ref="F201">_xlfn.XLOOKUP("JJ",[1]Print_Summary!$O$23:$O$41,[1]Print_Summary!$P$23:$P$41)</f>
        <v>Ten</v>
      </c>
    </row>
    <row r="202" spans="1:6" ht="15.5">
      <c r="A202" s="7">
        <v>199</v>
      </c>
      <c r="B202" s="1" t="str" cm="1">
        <f t="array" ref="B202">_xlfn.XLOOKUP("HH",[1]Print_Summary!$O$23:$O$41,[1]Print_Summary!$P$23:$P$41)</f>
        <v>Jack</v>
      </c>
      <c r="C202" s="1" t="str" cm="1">
        <f t="array" ref="C202">_xlfn.XLOOKUP("JJ",[1]Print_Summary!$O$23:$O$41,[1]Print_Summary!$P$23:$P$41)</f>
        <v>Ten</v>
      </c>
      <c r="D202" s="1" t="str" cm="1">
        <f t="array" ref="D202">_xlfn.XLOOKUP("GG",[1]Print_Summary!$O$23:$O$41,[1]Print_Summary!$P$23:$P$41)</f>
        <v>Queen</v>
      </c>
      <c r="E202" s="1" t="str" cm="1">
        <f t="array" ref="E202">_xlfn.XLOOKUP("BB",[1]Print_Summary!$O$23:$O$41,[1]Print_Summary!$P$23:$P$41)</f>
        <v>Pisces</v>
      </c>
      <c r="F202" s="2" t="str" cm="1">
        <f t="array" ref="F202">_xlfn.XLOOKUP("FF",[1]Print_Summary!$O$23:$O$41,[1]Print_Summary!$P$23:$P$41)</f>
        <v>King</v>
      </c>
    </row>
    <row r="203" spans="1:6" ht="15.5">
      <c r="A203" s="8">
        <v>200</v>
      </c>
      <c r="B203" s="9" t="str" cm="1">
        <f t="array" ref="B203">_xlfn.XLOOKUP("X",[1]Print_Summary!$O$23:$O$41,[1]Print_Summary!$P$23:$P$41)</f>
        <v>X</v>
      </c>
      <c r="C203" s="9" t="str" cm="1">
        <f t="array" ref="C203">_xlfn.XLOOKUP("X",[1]Print_Summary!$O$23:$O$41,[1]Print_Summary!$P$23:$P$41)</f>
        <v>X</v>
      </c>
      <c r="D203" s="9" t="str" cm="1">
        <f t="array" ref="D203">_xlfn.XLOOKUP("X",[1]Print_Summary!$O$23:$O$41,[1]Print_Summary!$P$23:$P$41)</f>
        <v>X</v>
      </c>
      <c r="E203" s="9" t="str" cm="1">
        <f t="array" ref="E203">_xlfn.XLOOKUP("X",[1]Print_Summary!$O$23:$O$41,[1]Print_Summary!$P$23:$P$41)</f>
        <v>X</v>
      </c>
      <c r="F203" s="10" t="str" cm="1">
        <f t="array" ref="F203">_xlfn.XLOOKUP("X",[1]Print_Summary!$O$23:$O$41,[1]Print_Summary!$P$23:$P$41)</f>
        <v>X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Roshini, Bunga</dc:creator>
  <cp:lastModifiedBy>Roshini, Bunga</cp:lastModifiedBy>
  <dcterms:created xsi:type="dcterms:W3CDTF">2026-08-13T06:59:30Z</dcterms:created>
  <dcterms:modified xsi:type="dcterms:W3CDTF">2026-08-13T11:24:00Z</dcterms:modified>
</cp:coreProperties>
</file>